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mc:AlternateContent xmlns:mc="http://schemas.openxmlformats.org/markup-compatibility/2006">
    <mc:Choice Requires="x15">
      <x15ac:absPath xmlns:x15ac="http://schemas.microsoft.com/office/spreadsheetml/2010/11/ac" url="C:\Users\Admin\Downloads\"/>
    </mc:Choice>
  </mc:AlternateContent>
  <xr:revisionPtr revIDLastSave="0" documentId="8_{8CC96563-6B05-45BE-AA16-9D3A016D696B}" xr6:coauthVersionLast="36" xr6:coauthVersionMax="36" xr10:uidLastSave="{00000000-0000-0000-0000-000000000000}"/>
  <bookViews>
    <workbookView xWindow="-105" yWindow="-105" windowWidth="22155" windowHeight="11835" xr2:uid="{C0893FBD-34B3-420E-B0D6-EC330180DDEA}"/>
  </bookViews>
  <sheets>
    <sheet name="Dashboard" sheetId="5" r:id="rId1"/>
    <sheet name="SalesData" sheetId="3" r:id="rId2"/>
    <sheet name="Pivot Tables" sheetId="4" r:id="rId3"/>
  </sheets>
  <definedNames>
    <definedName name="Slicer_Product">#N/A</definedName>
    <definedName name="Slicer_Region">#N/A</definedName>
    <definedName name="Slicer_Sales_Person">#N/A</definedName>
    <definedName name="Slicer_Years">#N/A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0" i="3" l="1"/>
  <c r="H10" i="3" s="1"/>
  <c r="J4" i="3"/>
  <c r="H3" i="3"/>
  <c r="H4" i="3"/>
  <c r="H5" i="3"/>
  <c r="I5" i="3" s="1"/>
  <c r="H6" i="3"/>
  <c r="H7" i="3"/>
  <c r="H8" i="3"/>
  <c r="H9" i="3"/>
  <c r="H11" i="3"/>
  <c r="I11" i="3" s="1"/>
  <c r="H12" i="3"/>
  <c r="H13" i="3"/>
  <c r="I13" i="3" s="1"/>
  <c r="H14" i="3"/>
  <c r="H15" i="3"/>
  <c r="H16" i="3"/>
  <c r="H17" i="3"/>
  <c r="H18" i="3"/>
  <c r="I18" i="3" s="1"/>
  <c r="H19" i="3"/>
  <c r="I19" i="3" s="1"/>
  <c r="H20" i="3"/>
  <c r="H21" i="3"/>
  <c r="I21" i="3" s="1"/>
  <c r="H22" i="3"/>
  <c r="H23" i="3"/>
  <c r="H24" i="3"/>
  <c r="H25" i="3"/>
  <c r="H26" i="3"/>
  <c r="I26" i="3" s="1"/>
  <c r="H27" i="3"/>
  <c r="I27" i="3" s="1"/>
  <c r="H28" i="3"/>
  <c r="H29" i="3"/>
  <c r="I29" i="3" s="1"/>
  <c r="H30" i="3"/>
  <c r="H31" i="3"/>
  <c r="H32" i="3"/>
  <c r="H33" i="3"/>
  <c r="H34" i="3"/>
  <c r="I34" i="3" s="1"/>
  <c r="H35" i="3"/>
  <c r="I35" i="3" s="1"/>
  <c r="H36" i="3"/>
  <c r="H37" i="3"/>
  <c r="I37" i="3" s="1"/>
  <c r="H38" i="3"/>
  <c r="H39" i="3"/>
  <c r="H40" i="3"/>
  <c r="H41" i="3"/>
  <c r="H42" i="3"/>
  <c r="I42" i="3" s="1"/>
  <c r="H43" i="3"/>
  <c r="I43" i="3" s="1"/>
  <c r="H44" i="3"/>
  <c r="H45" i="3"/>
  <c r="I45" i="3" s="1"/>
  <c r="H46" i="3"/>
  <c r="H47" i="3"/>
  <c r="H48" i="3"/>
  <c r="H49" i="3"/>
  <c r="H50" i="3"/>
  <c r="I50" i="3" s="1"/>
  <c r="H51" i="3"/>
  <c r="I51" i="3" s="1"/>
  <c r="I4" i="3"/>
  <c r="I6" i="3"/>
  <c r="I7" i="3"/>
  <c r="I8" i="3"/>
  <c r="I9" i="3"/>
  <c r="I12" i="3"/>
  <c r="I14" i="3"/>
  <c r="I15" i="3"/>
  <c r="I16" i="3"/>
  <c r="I17" i="3"/>
  <c r="I20" i="3"/>
  <c r="I22" i="3"/>
  <c r="I23" i="3"/>
  <c r="I24" i="3"/>
  <c r="I25" i="3"/>
  <c r="I28" i="3"/>
  <c r="I30" i="3"/>
  <c r="I31" i="3"/>
  <c r="I32" i="3"/>
  <c r="I33" i="3"/>
  <c r="I36" i="3"/>
  <c r="I38" i="3"/>
  <c r="I39" i="3"/>
  <c r="I40" i="3"/>
  <c r="I41" i="3"/>
  <c r="I44" i="3"/>
  <c r="I46" i="3"/>
  <c r="I47" i="3"/>
  <c r="I48" i="3"/>
  <c r="I49" i="3"/>
  <c r="I3" i="3"/>
  <c r="I2" i="3"/>
  <c r="I10" i="3" l="1"/>
  <c r="J6" i="3" s="1"/>
  <c r="J2" i="3"/>
  <c r="J8" i="3"/>
  <c r="G51" i="3"/>
  <c r="F51" i="3"/>
  <c r="G50" i="3"/>
  <c r="F50" i="3"/>
  <c r="G49" i="3"/>
  <c r="F49" i="3"/>
  <c r="G48" i="3"/>
  <c r="F48" i="3"/>
  <c r="G47" i="3"/>
  <c r="F47" i="3"/>
  <c r="G46" i="3"/>
  <c r="F46" i="3"/>
  <c r="G45" i="3"/>
  <c r="F45" i="3"/>
  <c r="G44" i="3"/>
  <c r="F44" i="3"/>
  <c r="G43" i="3"/>
  <c r="F43" i="3"/>
  <c r="G42" i="3"/>
  <c r="F42" i="3"/>
  <c r="G41" i="3"/>
  <c r="F41" i="3"/>
  <c r="G40" i="3"/>
  <c r="F40" i="3"/>
  <c r="G39" i="3"/>
  <c r="F39" i="3"/>
  <c r="G38" i="3"/>
  <c r="F38" i="3"/>
  <c r="G37" i="3"/>
  <c r="F37" i="3"/>
  <c r="G36" i="3"/>
  <c r="F36" i="3"/>
  <c r="G35" i="3"/>
  <c r="F35" i="3"/>
  <c r="G34" i="3"/>
  <c r="F34" i="3"/>
  <c r="G33" i="3"/>
  <c r="F33" i="3"/>
  <c r="G32" i="3"/>
  <c r="F32" i="3"/>
  <c r="G31" i="3"/>
  <c r="F31" i="3"/>
  <c r="G30" i="3"/>
  <c r="F30" i="3"/>
  <c r="G29" i="3"/>
  <c r="F29" i="3"/>
  <c r="G28" i="3"/>
  <c r="F28" i="3"/>
  <c r="G27" i="3"/>
  <c r="F27" i="3"/>
  <c r="G26" i="3"/>
  <c r="F26" i="3"/>
  <c r="G25" i="3"/>
  <c r="F25" i="3"/>
  <c r="G24" i="3"/>
  <c r="F24" i="3"/>
  <c r="G23" i="3"/>
  <c r="F23" i="3"/>
  <c r="G22" i="3"/>
  <c r="F22" i="3"/>
  <c r="G21" i="3"/>
  <c r="F21" i="3"/>
  <c r="G20" i="3"/>
  <c r="F20" i="3"/>
  <c r="G19" i="3"/>
  <c r="F19" i="3"/>
  <c r="G18" i="3"/>
  <c r="F18" i="3"/>
  <c r="G17" i="3"/>
  <c r="F17" i="3"/>
  <c r="G16" i="3"/>
  <c r="F16" i="3"/>
  <c r="G15" i="3"/>
  <c r="F15" i="3"/>
  <c r="G14" i="3"/>
  <c r="F14" i="3"/>
  <c r="G13" i="3"/>
  <c r="F13" i="3"/>
  <c r="G12" i="3"/>
  <c r="F12" i="3"/>
  <c r="G11" i="3"/>
  <c r="F11" i="3"/>
  <c r="G10" i="3"/>
  <c r="G9" i="3"/>
  <c r="F9" i="3"/>
  <c r="G8" i="3"/>
  <c r="F8" i="3"/>
  <c r="G7" i="3"/>
  <c r="F7" i="3"/>
  <c r="G6" i="3"/>
  <c r="F6" i="3"/>
  <c r="G5" i="3"/>
  <c r="F5" i="3"/>
  <c r="G4" i="3"/>
  <c r="F4" i="3"/>
  <c r="G3" i="3"/>
  <c r="F3" i="3"/>
  <c r="H2" i="3"/>
  <c r="G2" i="3"/>
  <c r="F2" i="3"/>
</calcChain>
</file>

<file path=xl/sharedStrings.xml><?xml version="1.0" encoding="utf-8"?>
<sst xmlns="http://schemas.openxmlformats.org/spreadsheetml/2006/main" count="218" uniqueCount="49">
  <si>
    <t>Date</t>
  </si>
  <si>
    <t>Sales Person</t>
  </si>
  <si>
    <t>Region</t>
  </si>
  <si>
    <t>Product</t>
  </si>
  <si>
    <t>Units Sold</t>
  </si>
  <si>
    <t>Unit Price</t>
  </si>
  <si>
    <t>Cost of Goods</t>
  </si>
  <si>
    <t>Total Sales</t>
  </si>
  <si>
    <t>Andrew</t>
  </si>
  <si>
    <t>West</t>
  </si>
  <si>
    <t>Tent</t>
  </si>
  <si>
    <t>Grace</t>
  </si>
  <si>
    <t>East</t>
  </si>
  <si>
    <t>Blender</t>
  </si>
  <si>
    <t>Ella</t>
  </si>
  <si>
    <t>South</t>
  </si>
  <si>
    <t>Action Figure</t>
  </si>
  <si>
    <t>Cameron</t>
  </si>
  <si>
    <t>North</t>
  </si>
  <si>
    <t>Novel</t>
  </si>
  <si>
    <t>Megan</t>
  </si>
  <si>
    <t>Sneakers</t>
  </si>
  <si>
    <t>Carolyn</t>
  </si>
  <si>
    <t>Virginia</t>
  </si>
  <si>
    <t>Connor</t>
  </si>
  <si>
    <t>Anna</t>
  </si>
  <si>
    <t>Moisturizer</t>
  </si>
  <si>
    <t>Nicholas</t>
  </si>
  <si>
    <t>Smartphone</t>
  </si>
  <si>
    <t>Grand Total</t>
  </si>
  <si>
    <t>Unit Sold</t>
  </si>
  <si>
    <t>Total Profit</t>
  </si>
  <si>
    <t>Average Sales</t>
  </si>
  <si>
    <t>Profit</t>
  </si>
  <si>
    <t>Row Labels</t>
  </si>
  <si>
    <t>Sum of Total Sales</t>
  </si>
  <si>
    <t>Sum of Units Sold</t>
  </si>
  <si>
    <t>May</t>
  </si>
  <si>
    <t>Jun</t>
  </si>
  <si>
    <t>Aug</t>
  </si>
  <si>
    <t>Sep</t>
  </si>
  <si>
    <t>Oct</t>
  </si>
  <si>
    <t>Nov</t>
  </si>
  <si>
    <t>Dec</t>
  </si>
  <si>
    <t>Jan</t>
  </si>
  <si>
    <t>Feb</t>
  </si>
  <si>
    <t>Apr</t>
  </si>
  <si>
    <t>Jul</t>
  </si>
  <si>
    <t>SALES TREND BY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</si>
</sst>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quot;Rs.&quot;\ * #,##0_ ;_ &quot;Rs.&quot;\ * \-#,##0_ ;_ &quot;Rs.&quot;\ * &quot;-&quot;_ ;_ @_ "/>
  </numFmts>
  <fonts count="4">
    <font>
      <sz val="11"/>
      <color theme="1"/>
      <name val="Aptos Narrow"/>
      <family val="2"/>
      <scheme val="minor"/>
    </font>
    <font>
      <sz val="11"/>
      <color theme="1"/>
      <name val="Aptos Narrow"/>
      <family val="2"/>
      <scheme val="minor"/>
    </font>
    <font>
      <sz val="11"/>
      <color theme="0"/>
      <name val="Aptos Narrow"/>
      <family val="2"/>
      <scheme val="minor"/>
    </font>
    <font>
      <b/>
      <sz val="12"/>
      <color theme="4"/>
      <name val="Aptos Narrow"/>
      <scheme val="minor"/>
    </font>
  </fonts>
  <fills count="4">
    <fill>
      <patternFill patternType="none"/>
    </fill>
    <fill>
      <patternFill patternType="gray125"/>
    </fill>
    <fill>
      <patternFill patternType="solid">
        <fgColor rgb="FF002060"/>
        <bgColor indexed="64"/>
      </patternFill>
    </fill>
    <fill>
      <patternFill patternType="solid">
        <fgColor theme="0"/>
        <bgColor indexed="64"/>
      </patternFill>
    </fill>
  </fills>
  <borders count="2">
    <border>
      <left/>
      <right/>
      <top/>
      <bottom/>
      <diagonal/>
    </border>
    <border>
      <left/>
      <right/>
      <top/>
      <bottom style="thick">
        <color rgb="FFFFC000"/>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0" fontId="2" fillId="2" borderId="1" xfId="0" applyFont="1" applyFill="1" applyBorder="1" applyAlignment="1">
      <alignment horizontal="center" vertical="center"/>
    </xf>
    <xf numFmtId="14" fontId="0" fillId="0" borderId="0" xfId="0" applyNumberFormat="1" applyAlignment="1">
      <alignment horizontal="center"/>
    </xf>
    <xf numFmtId="0" fontId="0" fillId="0" borderId="0" xfId="0" applyAlignment="1">
      <alignment horizontal="left"/>
    </xf>
    <xf numFmtId="164" fontId="0" fillId="0" borderId="0" xfId="1" applyFont="1"/>
    <xf numFmtId="0" fontId="2" fillId="2" borderId="0" xfId="0" applyFont="1" applyFill="1" applyBorder="1" applyAlignment="1">
      <alignment horizontal="center" vertical="center"/>
    </xf>
    <xf numFmtId="164" fontId="0" fillId="0" borderId="0" xfId="0" applyNumberFormat="1"/>
    <xf numFmtId="0" fontId="0" fillId="0" borderId="0" xfId="0" pivotButton="1"/>
    <xf numFmtId="0" fontId="0" fillId="0" borderId="0" xfId="0" applyNumberFormat="1"/>
    <xf numFmtId="0" fontId="2" fillId="3" borderId="0" xfId="0" applyFont="1" applyFill="1"/>
    <xf numFmtId="14" fontId="0" fillId="0" borderId="0" xfId="0" applyNumberFormat="1" applyAlignment="1">
      <alignment horizontal="left"/>
    </xf>
    <xf numFmtId="0" fontId="3" fillId="0" borderId="0" xfId="0" applyFont="1"/>
  </cellXfs>
  <cellStyles count="2">
    <cellStyle name="Currency [0]" xfId="1" builtinId="7"/>
    <cellStyle name="Normal" xfId="0" builtinId="0"/>
  </cellStyles>
  <dxfs count="8">
    <dxf>
      <numFmt numFmtId="164" formatCode="_ &quot;Rs.&quot;\ * #,##0_ ;_ &quot;Rs.&quot;\ * \-#,##0_ ;_ &quot;Rs.&quot;\ * &quot;-&quot;_ ;_ @_ "/>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alignment horizontal="left" vertical="bottom" textRotation="0" wrapText="0" indent="0" justifyLastLine="0" shrinkToFit="0" readingOrder="0"/>
    </dxf>
    <dxf>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0"/>
        <name val="Aptos Narrow"/>
        <family val="2"/>
        <scheme val="minor"/>
      </font>
      <fill>
        <patternFill patternType="solid">
          <fgColor indexed="64"/>
          <bgColor rgb="FF002060"/>
        </patternFill>
      </fill>
      <alignment horizontal="center" vertical="center" textRotation="0" wrapText="0" indent="0" justifyLastLine="0" shrinkToFit="0" readingOrder="0"/>
    </dxf>
  </dxfs>
  <tableStyles count="1" defaultTableStyle="TableStyleMedium2" defaultPivotStyle="PivotStyleLight16">
    <tableStyle name="Invisible" pivot="0" table="0" count="0" xr9:uid="{BDFCBA0C-0FAD-47E9-B8E0-311E6D449765}"/>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Tables!PivotTable4</c:name>
    <c:fmtId val="3"/>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Tables'!$J$4:$J$11</c:f>
              <c:strCache>
                <c:ptCount val="7"/>
                <c:pt idx="0">
                  <c:v>Action Figure</c:v>
                </c:pt>
                <c:pt idx="1">
                  <c:v>Blender</c:v>
                </c:pt>
                <c:pt idx="2">
                  <c:v>Moisturizer</c:v>
                </c:pt>
                <c:pt idx="3">
                  <c:v>Novel</c:v>
                </c:pt>
                <c:pt idx="4">
                  <c:v>Smartphone</c:v>
                </c:pt>
                <c:pt idx="5">
                  <c:v>Sneakers</c:v>
                </c:pt>
                <c:pt idx="6">
                  <c:v>Tent</c:v>
                </c:pt>
              </c:strCache>
            </c:strRef>
          </c:cat>
          <c:val>
            <c:numRef>
              <c:f>'Pivot Tables'!$K$4:$K$11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3CE7-4AB3-92AD-739D60945306}"/>
            </c:ext>
          </c:extLst>
        </c:ser>
        <c:dLbls>
          <c:dLblPos val="t"/>
          <c:showLegendKey val="0"/>
          <c:showVal val="1"/>
          <c:showCatName val="0"/>
          <c:showSerName val="0"/>
          <c:showPercent val="0"/>
          <c:showBubbleSize val="0"/>
        </c:dLbls>
        <c:dropLines>
          <c:spPr>
            <a:ln w="22225" cap="flat" cmpd="sng" algn="ctr">
              <a:solidFill>
                <a:schemeClr val="accent1">
                  <a:lumMod val="50000"/>
                </a:schemeClr>
              </a:solidFill>
              <a:round/>
            </a:ln>
            <a:effectLst/>
          </c:spPr>
        </c:dropLines>
        <c:marker val="1"/>
        <c:smooth val="0"/>
        <c:axId val="1639868096"/>
        <c:axId val="1639670400"/>
      </c:lineChart>
      <c:catAx>
        <c:axId val="1639868096"/>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39670400"/>
        <c:crosses val="autoZero"/>
        <c:auto val="1"/>
        <c:lblAlgn val="ctr"/>
        <c:lblOffset val="100"/>
        <c:noMultiLvlLbl val="0"/>
      </c:catAx>
      <c:valAx>
        <c:axId val="1639670400"/>
        <c:scaling>
          <c:orientation val="minMax"/>
        </c:scaling>
        <c:delete val="1"/>
        <c:axPos val="l"/>
        <c:numFmt formatCode="General" sourceLinked="1"/>
        <c:majorTickMark val="none"/>
        <c:minorTickMark val="none"/>
        <c:tickLblPos val="nextTo"/>
        <c:crossAx val="1639868096"/>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Tables!PivotTable2</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FF9FC8-55A6-43AC-B0D4-A74D0063CB78}" type="VALUE">
                  <a:rPr lang="en-US" b="1"/>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FF9FC8-55A6-43AC-B0D4-A74D0063CB78}" type="VALUE">
                  <a:rPr lang="en-US" b="1"/>
                  <a:pPr>
                    <a:defRPr sz="900" b="1" i="0" u="none" strike="noStrike" kern="1200" baseline="0">
                      <a:solidFill>
                        <a:schemeClr val="tx1">
                          <a:lumMod val="75000"/>
                          <a:lumOff val="25000"/>
                        </a:schemeClr>
                      </a:solidFill>
                      <a:latin typeface="+mn-lt"/>
                      <a:ea typeface="+mn-ea"/>
                      <a:cs typeface="+mn-cs"/>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FF9FC8-55A6-43AC-B0D4-A74D0063CB78}" type="VALUE">
                  <a:rPr lang="en-US"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Pt>
            <c:idx val="5"/>
            <c:invertIfNegative val="0"/>
            <c:bubble3D val="0"/>
            <c:spPr>
              <a:solidFill>
                <a:schemeClr val="accent1"/>
              </a:solidFill>
              <a:ln>
                <a:noFill/>
              </a:ln>
              <a:effectLst/>
            </c:spPr>
            <c:extLst>
              <c:ext xmlns:c16="http://schemas.microsoft.com/office/drawing/2014/chart" uri="{C3380CC4-5D6E-409C-BE32-E72D297353CC}">
                <c16:uniqueId val="{00000000-10B9-478F-9A15-82F023E45A79}"/>
              </c:ext>
            </c:extLst>
          </c:dPt>
          <c:dLbls>
            <c:dLbl>
              <c:idx val="5"/>
              <c:tx>
                <c:rich>
                  <a:bodyPr/>
                  <a:lstStyle/>
                  <a:p>
                    <a:fld id="{CEFF9FC8-55A6-43AC-B0D4-A74D0063CB78}"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10B9-478F-9A15-82F023E45A7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General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1-10B9-478F-9A15-82F023E45A79}"/>
            </c:ext>
          </c:extLst>
        </c:ser>
        <c:dLbls>
          <c:dLblPos val="inEnd"/>
          <c:showLegendKey val="0"/>
          <c:showVal val="1"/>
          <c:showCatName val="0"/>
          <c:showSerName val="0"/>
          <c:showPercent val="0"/>
          <c:showBubbleSize val="0"/>
        </c:dLbls>
        <c:gapWidth val="52"/>
        <c:axId val="1581887536"/>
        <c:axId val="1581874736"/>
      </c:barChart>
      <c:catAx>
        <c:axId val="158188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874736"/>
        <c:crosses val="autoZero"/>
        <c:auto val="1"/>
        <c:lblAlgn val="ctr"/>
        <c:lblOffset val="100"/>
        <c:noMultiLvlLbl val="0"/>
      </c:catAx>
      <c:valAx>
        <c:axId val="1581874736"/>
        <c:scaling>
          <c:orientation val="minMax"/>
        </c:scaling>
        <c:delete val="1"/>
        <c:axPos val="b"/>
        <c:numFmt formatCode="General" sourceLinked="1"/>
        <c:majorTickMark val="none"/>
        <c:minorTickMark val="none"/>
        <c:tickLblPos val="nextTo"/>
        <c:crossAx val="158188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layout>
        <c:manualLayout>
          <c:xMode val="edge"/>
          <c:yMode val="edge"/>
          <c:x val="0.3020067804024497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1388888888888879"/>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44444444444444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083333333333333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w="19050">
            <a:solidFill>
              <a:schemeClr val="lt1"/>
            </a:solidFill>
          </a:ln>
          <a:effectLst/>
        </c:spPr>
        <c:dLbl>
          <c:idx val="0"/>
          <c:layout>
            <c:manualLayout>
              <c:x val="-0.11388888888888891"/>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44444444444444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388888888888879"/>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083333333333333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1388888888888891"/>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444444444444444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1388888888888879"/>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083333333333333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1388888888888891"/>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45-4525-8EE7-2A1E19F232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45-4525-8EE7-2A1E19F232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45-4525-8EE7-2A1E19F232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45-4525-8EE7-2A1E19F2328D}"/>
              </c:ext>
            </c:extLst>
          </c:dPt>
          <c:dLbls>
            <c:dLbl>
              <c:idx val="0"/>
              <c:layout>
                <c:manualLayout>
                  <c:x val="0.1444444444444444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545-4525-8EE7-2A1E19F2328D}"/>
                </c:ext>
              </c:extLst>
            </c:dLbl>
            <c:dLbl>
              <c:idx val="1"/>
              <c:layout>
                <c:manualLayout>
                  <c:x val="0.11388888888888879"/>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545-4525-8EE7-2A1E19F2328D}"/>
                </c:ext>
              </c:extLst>
            </c:dLbl>
            <c:dLbl>
              <c:idx val="2"/>
              <c:layout>
                <c:manualLayout>
                  <c:x val="-0.10833333333333338"/>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545-4525-8EE7-2A1E19F2328D}"/>
                </c:ext>
              </c:extLst>
            </c:dLbl>
            <c:dLbl>
              <c:idx val="3"/>
              <c:layout>
                <c:manualLayout>
                  <c:x val="-0.11388888888888891"/>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545-4525-8EE7-2A1E19F2328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3534400</c:v>
                </c:pt>
                <c:pt idx="1">
                  <c:v>2661400</c:v>
                </c:pt>
                <c:pt idx="2">
                  <c:v>2870600</c:v>
                </c:pt>
                <c:pt idx="3">
                  <c:v>3878100</c:v>
                </c:pt>
              </c:numCache>
            </c:numRef>
          </c:val>
          <c:extLst>
            <c:ext xmlns:c16="http://schemas.microsoft.com/office/drawing/2014/chart" uri="{C3380CC4-5D6E-409C-BE32-E72D297353CC}">
              <c16:uniqueId val="{00000008-9545-4525-8EE7-2A1E19F2328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73447069116361E-2"/>
          <c:y val="0.13221784776902887"/>
          <c:w val="0.93888888888888888"/>
          <c:h val="0.65853091280256637"/>
        </c:manualLayout>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General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6EA6-4CC7-92AB-C564E22710F1}"/>
            </c:ext>
          </c:extLst>
        </c:ser>
        <c:dLbls>
          <c:showLegendKey val="0"/>
          <c:showVal val="0"/>
          <c:showCatName val="0"/>
          <c:showSerName val="0"/>
          <c:showPercent val="0"/>
          <c:showBubbleSize val="0"/>
        </c:dLbls>
        <c:gapWidth val="76"/>
        <c:overlap val="-27"/>
        <c:axId val="1488392320"/>
        <c:axId val="1642128304"/>
      </c:barChart>
      <c:catAx>
        <c:axId val="148839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28304"/>
        <c:crosses val="autoZero"/>
        <c:auto val="1"/>
        <c:lblAlgn val="ctr"/>
        <c:lblOffset val="100"/>
        <c:noMultiLvlLbl val="0"/>
      </c:catAx>
      <c:valAx>
        <c:axId val="1642128304"/>
        <c:scaling>
          <c:orientation val="minMax"/>
        </c:scaling>
        <c:delete val="1"/>
        <c:axPos val="l"/>
        <c:numFmt formatCode="General" sourceLinked="1"/>
        <c:majorTickMark val="none"/>
        <c:minorTickMark val="none"/>
        <c:tickLblPos val="nextTo"/>
        <c:crossAx val="148839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Tables!PivotTable6</c:name>
    <c:fmtId val="8"/>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'Pivot Tables'!$B$11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Tables'!$A$12:$A$23</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'Pivot Tables'!$B$12:$B$23</c:f>
              <c:numCache>
                <c:formatCode>General</c:formatCode>
                <c:ptCount val="11"/>
                <c:pt idx="0">
                  <c:v>528600</c:v>
                </c:pt>
                <c:pt idx="1">
                  <c:v>738000</c:v>
                </c:pt>
                <c:pt idx="2">
                  <c:v>950000</c:v>
                </c:pt>
                <c:pt idx="3">
                  <c:v>1022800</c:v>
                </c:pt>
                <c:pt idx="4">
                  <c:v>635200</c:v>
                </c:pt>
                <c:pt idx="5">
                  <c:v>663600</c:v>
                </c:pt>
                <c:pt idx="6">
                  <c:v>1900800</c:v>
                </c:pt>
                <c:pt idx="7">
                  <c:v>2698100</c:v>
                </c:pt>
                <c:pt idx="8">
                  <c:v>1730600</c:v>
                </c:pt>
                <c:pt idx="9">
                  <c:v>1151400</c:v>
                </c:pt>
                <c:pt idx="10">
                  <c:v>925400</c:v>
                </c:pt>
              </c:numCache>
            </c:numRef>
          </c:val>
          <c:smooth val="0"/>
          <c:extLst>
            <c:ext xmlns:c16="http://schemas.microsoft.com/office/drawing/2014/chart" uri="{C3380CC4-5D6E-409C-BE32-E72D297353CC}">
              <c16:uniqueId val="{00000000-9F6C-4EAC-8771-75A020CB6194}"/>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20620607"/>
        <c:axId val="1220484031"/>
      </c:lineChart>
      <c:catAx>
        <c:axId val="12206206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20484031"/>
        <c:crosses val="autoZero"/>
        <c:auto val="1"/>
        <c:lblAlgn val="ctr"/>
        <c:lblOffset val="100"/>
        <c:noMultiLvlLbl val="0"/>
      </c:catAx>
      <c:valAx>
        <c:axId val="1220484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0620607"/>
        <c:crosses val="autoZero"/>
        <c:crossBetween val="between"/>
      </c:valAx>
      <c:spPr>
        <a:solidFill>
          <a:schemeClr val="accent2"/>
        </a:solidFill>
        <a:ln>
          <a:solidFill>
            <a:schemeClr val="accent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sales by region</a:t>
            </a:r>
          </a:p>
        </c:rich>
      </c:tx>
      <c:layout>
        <c:manualLayout>
          <c:xMode val="edge"/>
          <c:yMode val="edge"/>
          <c:x val="0.30200678040244977"/>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388888888888879"/>
              <c:y val="6.9444444444444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4444444444444443"/>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833333333333338"/>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1388888888888891"/>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CC65-49B6-9B14-66FF72D3D0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CC65-49B6-9B14-66FF72D3D0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CC65-49B6-9B14-66FF72D3D0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CC65-49B6-9B14-66FF72D3D02E}"/>
              </c:ext>
            </c:extLst>
          </c:dPt>
          <c:dLbls>
            <c:dLbl>
              <c:idx val="0"/>
              <c:layout>
                <c:manualLayout>
                  <c:x val="0.14444444444444443"/>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C65-49B6-9B14-66FF72D3D02E}"/>
                </c:ext>
              </c:extLst>
            </c:dLbl>
            <c:dLbl>
              <c:idx val="1"/>
              <c:layout>
                <c:manualLayout>
                  <c:x val="0.11388888888888879"/>
                  <c:y val="6.94444444444443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65-49B6-9B14-66FF72D3D02E}"/>
                </c:ext>
              </c:extLst>
            </c:dLbl>
            <c:dLbl>
              <c:idx val="2"/>
              <c:layout>
                <c:manualLayout>
                  <c:x val="-0.10833333333333338"/>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C65-49B6-9B14-66FF72D3D02E}"/>
                </c:ext>
              </c:extLst>
            </c:dLbl>
            <c:dLbl>
              <c:idx val="3"/>
              <c:layout>
                <c:manualLayout>
                  <c:x val="-0.11388888888888891"/>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C65-49B6-9B14-66FF72D3D02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General</c:formatCode>
                <c:ptCount val="4"/>
                <c:pt idx="0">
                  <c:v>3534400</c:v>
                </c:pt>
                <c:pt idx="1">
                  <c:v>2661400</c:v>
                </c:pt>
                <c:pt idx="2">
                  <c:v>2870600</c:v>
                </c:pt>
                <c:pt idx="3">
                  <c:v>3878100</c:v>
                </c:pt>
              </c:numCache>
            </c:numRef>
          </c:val>
          <c:extLst>
            <c:ext xmlns:c16="http://schemas.microsoft.com/office/drawing/2014/chart" uri="{C3380CC4-5D6E-409C-BE32-E72D297353CC}">
              <c16:uniqueId val="{00000000-CC65-49B6-9B14-66FF72D3D02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fld id="{CEFF9FC8-55A6-43AC-B0D4-A74D0063CB78}" type="VALUE">
                  <a:rPr lang="en-US" b="1"/>
                  <a:pPr>
                    <a:defRPr b="1"/>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9649846894138232"/>
          <c:y val="0.13786818314377369"/>
          <c:w val="0.6562793088363954"/>
          <c:h val="0.80657626130067073"/>
        </c:manualLayout>
      </c:layout>
      <c:barChart>
        <c:barDir val="bar"/>
        <c:grouping val="clustered"/>
        <c:varyColors val="0"/>
        <c:ser>
          <c:idx val="0"/>
          <c:order val="0"/>
          <c:tx>
            <c:strRef>
              <c:f>'Pivot Tables'!$E$3</c:f>
              <c:strCache>
                <c:ptCount val="1"/>
                <c:pt idx="0">
                  <c:v>Total</c:v>
                </c:pt>
              </c:strCache>
            </c:strRef>
          </c:tx>
          <c:spPr>
            <a:solidFill>
              <a:schemeClr val="accent1"/>
            </a:solidFill>
            <a:ln>
              <a:noFill/>
            </a:ln>
            <a:effectLst/>
          </c:spPr>
          <c:invertIfNegative val="0"/>
          <c:dPt>
            <c:idx val="5"/>
            <c:invertIfNegative val="0"/>
            <c:bubble3D val="0"/>
            <c:spPr>
              <a:solidFill>
                <a:schemeClr val="accent1"/>
              </a:solidFill>
              <a:ln>
                <a:noFill/>
              </a:ln>
              <a:effectLst/>
            </c:spPr>
            <c:extLst>
              <c:ext xmlns:c16="http://schemas.microsoft.com/office/drawing/2014/chart" uri="{C3380CC4-5D6E-409C-BE32-E72D297353CC}">
                <c16:uniqueId val="{00000001-0089-4781-88E7-F9B4AC107402}"/>
              </c:ext>
            </c:extLst>
          </c:dPt>
          <c:dLbls>
            <c:dLbl>
              <c:idx val="5"/>
              <c:tx>
                <c:rich>
                  <a:bodyPr/>
                  <a:lstStyle/>
                  <a:p>
                    <a:fld id="{CEFF9FC8-55A6-43AC-B0D4-A74D0063CB78}" type="VALUE">
                      <a:rPr lang="en-US" b="1"/>
                      <a:pPr/>
                      <a:t>[VALUE]</a:t>
                    </a:fld>
                    <a:endParaRPr lang="en-IN"/>
                  </a:p>
                </c:rich>
              </c:tx>
              <c:dLblPos val="in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089-4781-88E7-F9B4AC10740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Tables'!$D$4:$D$11</c:f>
              <c:strCache>
                <c:ptCount val="7"/>
                <c:pt idx="0">
                  <c:v>Action Figure</c:v>
                </c:pt>
                <c:pt idx="1">
                  <c:v>Blender</c:v>
                </c:pt>
                <c:pt idx="2">
                  <c:v>Moisturizer</c:v>
                </c:pt>
                <c:pt idx="3">
                  <c:v>Novel</c:v>
                </c:pt>
                <c:pt idx="4">
                  <c:v>Smartphone</c:v>
                </c:pt>
                <c:pt idx="5">
                  <c:v>Sneakers</c:v>
                </c:pt>
                <c:pt idx="6">
                  <c:v>Tent</c:v>
                </c:pt>
              </c:strCache>
            </c:strRef>
          </c:cat>
          <c:val>
            <c:numRef>
              <c:f>'Pivot Tables'!$E$4:$E$11</c:f>
              <c:numCache>
                <c:formatCode>General</c:formatCode>
                <c:ptCount val="7"/>
                <c:pt idx="0">
                  <c:v>547200</c:v>
                </c:pt>
                <c:pt idx="1">
                  <c:v>2222500</c:v>
                </c:pt>
                <c:pt idx="2">
                  <c:v>706800</c:v>
                </c:pt>
                <c:pt idx="3">
                  <c:v>898000</c:v>
                </c:pt>
                <c:pt idx="4">
                  <c:v>2350000</c:v>
                </c:pt>
                <c:pt idx="5">
                  <c:v>3196000</c:v>
                </c:pt>
                <c:pt idx="6">
                  <c:v>3024000</c:v>
                </c:pt>
              </c:numCache>
            </c:numRef>
          </c:val>
          <c:extLst>
            <c:ext xmlns:c16="http://schemas.microsoft.com/office/drawing/2014/chart" uri="{C3380CC4-5D6E-409C-BE32-E72D297353CC}">
              <c16:uniqueId val="{00000000-0089-4781-88E7-F9B4AC107402}"/>
            </c:ext>
          </c:extLst>
        </c:ser>
        <c:dLbls>
          <c:dLblPos val="inEnd"/>
          <c:showLegendKey val="0"/>
          <c:showVal val="1"/>
          <c:showCatName val="0"/>
          <c:showSerName val="0"/>
          <c:showPercent val="0"/>
          <c:showBubbleSize val="0"/>
        </c:dLbls>
        <c:gapWidth val="52"/>
        <c:axId val="1581887536"/>
        <c:axId val="1581874736"/>
      </c:barChart>
      <c:catAx>
        <c:axId val="15818875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874736"/>
        <c:crosses val="autoZero"/>
        <c:auto val="1"/>
        <c:lblAlgn val="ctr"/>
        <c:lblOffset val="100"/>
        <c:noMultiLvlLbl val="0"/>
      </c:catAx>
      <c:valAx>
        <c:axId val="1581874736"/>
        <c:scaling>
          <c:orientation val="minMax"/>
        </c:scaling>
        <c:delete val="1"/>
        <c:axPos val="b"/>
        <c:numFmt formatCode="General" sourceLinked="1"/>
        <c:majorTickMark val="none"/>
        <c:minorTickMark val="none"/>
        <c:tickLblPos val="nextTo"/>
        <c:crossAx val="15818875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673447069116361E-2"/>
          <c:y val="0.13221784776902887"/>
          <c:w val="0.93888888888888888"/>
          <c:h val="0.65853091280256637"/>
        </c:manualLayout>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Tables'!$H$4:$H$14</c:f>
              <c:numCache>
                <c:formatCode>General</c:formatCode>
                <c:ptCount val="10"/>
                <c:pt idx="0">
                  <c:v>1591600</c:v>
                </c:pt>
                <c:pt idx="1">
                  <c:v>677600</c:v>
                </c:pt>
                <c:pt idx="2">
                  <c:v>1957000</c:v>
                </c:pt>
                <c:pt idx="3">
                  <c:v>1661400</c:v>
                </c:pt>
                <c:pt idx="4">
                  <c:v>1741200</c:v>
                </c:pt>
                <c:pt idx="5">
                  <c:v>1110000</c:v>
                </c:pt>
                <c:pt idx="6">
                  <c:v>1777400</c:v>
                </c:pt>
                <c:pt idx="7">
                  <c:v>1065400</c:v>
                </c:pt>
                <c:pt idx="8">
                  <c:v>784400</c:v>
                </c:pt>
                <c:pt idx="9">
                  <c:v>578500</c:v>
                </c:pt>
              </c:numCache>
            </c:numRef>
          </c:val>
          <c:extLst>
            <c:ext xmlns:c16="http://schemas.microsoft.com/office/drawing/2014/chart" uri="{C3380CC4-5D6E-409C-BE32-E72D297353CC}">
              <c16:uniqueId val="{00000000-A373-4ED5-83D2-9D78FC4B14A1}"/>
            </c:ext>
          </c:extLst>
        </c:ser>
        <c:dLbls>
          <c:showLegendKey val="0"/>
          <c:showVal val="0"/>
          <c:showCatName val="0"/>
          <c:showSerName val="0"/>
          <c:showPercent val="0"/>
          <c:showBubbleSize val="0"/>
        </c:dLbls>
        <c:gapWidth val="76"/>
        <c:overlap val="-27"/>
        <c:axId val="1488392320"/>
        <c:axId val="1642128304"/>
      </c:barChart>
      <c:catAx>
        <c:axId val="1488392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128304"/>
        <c:crosses val="autoZero"/>
        <c:auto val="1"/>
        <c:lblAlgn val="ctr"/>
        <c:lblOffset val="100"/>
        <c:noMultiLvlLbl val="0"/>
      </c:catAx>
      <c:valAx>
        <c:axId val="1642128304"/>
        <c:scaling>
          <c:orientation val="minMax"/>
        </c:scaling>
        <c:delete val="1"/>
        <c:axPos val="l"/>
        <c:numFmt formatCode="General" sourceLinked="1"/>
        <c:majorTickMark val="none"/>
        <c:minorTickMark val="none"/>
        <c:tickLblPos val="nextTo"/>
        <c:crossAx val="14883923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Tables!PivotTable4</c:name>
    <c:fmtId val="1"/>
  </c:pivotSource>
  <c:chart>
    <c:title>
      <c:layout>
        <c:manualLayout>
          <c:xMode val="edge"/>
          <c:yMode val="edge"/>
          <c:x val="0.43122900262467184"/>
          <c:y val="0.11934966462525518"/>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solidFill>
                <a:schemeClr val="tx2"/>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Tables'!$J$4:$J$11</c:f>
              <c:strCache>
                <c:ptCount val="7"/>
                <c:pt idx="0">
                  <c:v>Action Figure</c:v>
                </c:pt>
                <c:pt idx="1">
                  <c:v>Blender</c:v>
                </c:pt>
                <c:pt idx="2">
                  <c:v>Moisturizer</c:v>
                </c:pt>
                <c:pt idx="3">
                  <c:v>Novel</c:v>
                </c:pt>
                <c:pt idx="4">
                  <c:v>Smartphone</c:v>
                </c:pt>
                <c:pt idx="5">
                  <c:v>Sneakers</c:v>
                </c:pt>
                <c:pt idx="6">
                  <c:v>Tent</c:v>
                </c:pt>
              </c:strCache>
            </c:strRef>
          </c:cat>
          <c:val>
            <c:numRef>
              <c:f>'Pivot Tables'!$K$4:$K$11</c:f>
              <c:numCache>
                <c:formatCode>General</c:formatCode>
                <c:ptCount val="7"/>
                <c:pt idx="0">
                  <c:v>456</c:v>
                </c:pt>
                <c:pt idx="1">
                  <c:v>635</c:v>
                </c:pt>
                <c:pt idx="2">
                  <c:v>1178</c:v>
                </c:pt>
                <c:pt idx="3">
                  <c:v>898</c:v>
                </c:pt>
                <c:pt idx="4">
                  <c:v>235</c:v>
                </c:pt>
                <c:pt idx="5">
                  <c:v>799</c:v>
                </c:pt>
                <c:pt idx="6">
                  <c:v>504</c:v>
                </c:pt>
              </c:numCache>
            </c:numRef>
          </c:val>
          <c:smooth val="0"/>
          <c:extLst>
            <c:ext xmlns:c16="http://schemas.microsoft.com/office/drawing/2014/chart" uri="{C3380CC4-5D6E-409C-BE32-E72D297353CC}">
              <c16:uniqueId val="{00000000-AD14-4A48-BB86-E5444DAAAE12}"/>
            </c:ext>
          </c:extLst>
        </c:ser>
        <c:dLbls>
          <c:dLblPos val="t"/>
          <c:showLegendKey val="0"/>
          <c:showVal val="1"/>
          <c:showCatName val="0"/>
          <c:showSerName val="0"/>
          <c:showPercent val="0"/>
          <c:showBubbleSize val="0"/>
        </c:dLbls>
        <c:dropLines>
          <c:spPr>
            <a:ln w="22225" cap="flat" cmpd="sng" algn="ctr">
              <a:solidFill>
                <a:schemeClr val="accent1">
                  <a:lumMod val="50000"/>
                </a:schemeClr>
              </a:solidFill>
              <a:round/>
            </a:ln>
            <a:effectLst/>
          </c:spPr>
        </c:dropLines>
        <c:marker val="1"/>
        <c:smooth val="0"/>
        <c:axId val="1639868096"/>
        <c:axId val="1639670400"/>
      </c:lineChart>
      <c:catAx>
        <c:axId val="1639868096"/>
        <c:scaling>
          <c:orientation val="minMax"/>
        </c:scaling>
        <c:delete val="0"/>
        <c:axPos val="b"/>
        <c:numFmt formatCode="General" sourceLinked="1"/>
        <c:majorTickMark val="none"/>
        <c:minorTickMark val="none"/>
        <c:tickLblPos val="nextTo"/>
        <c:spPr>
          <a:solidFill>
            <a:schemeClr val="tx1"/>
          </a:solid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39670400"/>
        <c:crosses val="autoZero"/>
        <c:auto val="1"/>
        <c:lblAlgn val="ctr"/>
        <c:lblOffset val="100"/>
        <c:noMultiLvlLbl val="0"/>
      </c:catAx>
      <c:valAx>
        <c:axId val="1639670400"/>
        <c:scaling>
          <c:orientation val="minMax"/>
        </c:scaling>
        <c:delete val="1"/>
        <c:axPos val="l"/>
        <c:numFmt formatCode="General" sourceLinked="1"/>
        <c:majorTickMark val="none"/>
        <c:minorTickMark val="none"/>
        <c:tickLblPos val="nextTo"/>
        <c:crossAx val="1639868096"/>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[Sales_Dashboard_Task1FINAL.xlsx]Pivot Tables!PivotTable6</c:name>
    <c:fmtId val="6"/>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'Pivot Tables'!$B$11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'Pivot Tables'!$A$12:$A$23</c:f>
              <c:strCache>
                <c:ptCount val="11"/>
                <c:pt idx="0">
                  <c:v>Jan</c:v>
                </c:pt>
                <c:pt idx="1">
                  <c:v>Feb</c:v>
                </c:pt>
                <c:pt idx="2">
                  <c:v>Apr</c:v>
                </c:pt>
                <c:pt idx="3">
                  <c:v>May</c:v>
                </c:pt>
                <c:pt idx="4">
                  <c:v>Jun</c:v>
                </c:pt>
                <c:pt idx="5">
                  <c:v>Jul</c:v>
                </c:pt>
                <c:pt idx="6">
                  <c:v>Aug</c:v>
                </c:pt>
                <c:pt idx="7">
                  <c:v>Sep</c:v>
                </c:pt>
                <c:pt idx="8">
                  <c:v>Oct</c:v>
                </c:pt>
                <c:pt idx="9">
                  <c:v>Nov</c:v>
                </c:pt>
                <c:pt idx="10">
                  <c:v>Dec</c:v>
                </c:pt>
              </c:strCache>
            </c:strRef>
          </c:cat>
          <c:val>
            <c:numRef>
              <c:f>'Pivot Tables'!$B$12:$B$23</c:f>
              <c:numCache>
                <c:formatCode>General</c:formatCode>
                <c:ptCount val="11"/>
                <c:pt idx="0">
                  <c:v>528600</c:v>
                </c:pt>
                <c:pt idx="1">
                  <c:v>738000</c:v>
                </c:pt>
                <c:pt idx="2">
                  <c:v>950000</c:v>
                </c:pt>
                <c:pt idx="3">
                  <c:v>1022800</c:v>
                </c:pt>
                <c:pt idx="4">
                  <c:v>635200</c:v>
                </c:pt>
                <c:pt idx="5">
                  <c:v>663600</c:v>
                </c:pt>
                <c:pt idx="6">
                  <c:v>1900800</c:v>
                </c:pt>
                <c:pt idx="7">
                  <c:v>2698100</c:v>
                </c:pt>
                <c:pt idx="8">
                  <c:v>1730600</c:v>
                </c:pt>
                <c:pt idx="9">
                  <c:v>1151400</c:v>
                </c:pt>
                <c:pt idx="10">
                  <c:v>925400</c:v>
                </c:pt>
              </c:numCache>
            </c:numRef>
          </c:val>
          <c:smooth val="0"/>
          <c:extLst>
            <c:ext xmlns:c16="http://schemas.microsoft.com/office/drawing/2014/chart" uri="{C3380CC4-5D6E-409C-BE32-E72D297353CC}">
              <c16:uniqueId val="{00000000-4E0D-4C0B-8D30-24ED9B9C8F46}"/>
            </c:ext>
          </c:extLst>
        </c:ser>
        <c:dLbls>
          <c:dLblPos val="t"/>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20620607"/>
        <c:axId val="1220484031"/>
      </c:lineChart>
      <c:catAx>
        <c:axId val="1220620607"/>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20484031"/>
        <c:crosses val="autoZero"/>
        <c:auto val="1"/>
        <c:lblAlgn val="ctr"/>
        <c:lblOffset val="100"/>
        <c:noMultiLvlLbl val="0"/>
      </c:catAx>
      <c:valAx>
        <c:axId val="12204840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20620607"/>
        <c:crosses val="autoZero"/>
        <c:crossBetween val="between"/>
      </c:valAx>
      <c:spPr>
        <a:solidFill>
          <a:schemeClr val="accent2"/>
        </a:solidFill>
        <a:ln>
          <a:solidFill>
            <a:schemeClr val="accent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19050</xdr:colOff>
      <xdr:row>4</xdr:row>
      <xdr:rowOff>76200</xdr:rowOff>
    </xdr:to>
    <xdr:sp macro="" textlink="">
      <xdr:nvSpPr>
        <xdr:cNvPr id="2" name="Rectangle: Rounded Corners 1">
          <a:extLst>
            <a:ext uri="{FF2B5EF4-FFF2-40B4-BE49-F238E27FC236}">
              <a16:creationId xmlns:a16="http://schemas.microsoft.com/office/drawing/2014/main" id="{A8BB0722-EFC0-414A-8C70-FDCEFC54A163}"/>
            </a:ext>
          </a:extLst>
        </xdr:cNvPr>
        <xdr:cNvSpPr/>
      </xdr:nvSpPr>
      <xdr:spPr>
        <a:xfrm>
          <a:off x="0" y="0"/>
          <a:ext cx="15792450" cy="809625"/>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8" algn="l"/>
          <a:r>
            <a:rPr lang="en-IN" sz="3200" b="1">
              <a:solidFill>
                <a:schemeClr val="accent1"/>
              </a:solidFill>
            </a:rPr>
            <a:t>SALES DASHBOARD</a:t>
          </a:r>
        </a:p>
      </xdr:txBody>
    </xdr:sp>
    <xdr:clientData/>
  </xdr:twoCellAnchor>
  <xdr:twoCellAnchor>
    <xdr:from>
      <xdr:col>0</xdr:col>
      <xdr:colOff>0</xdr:colOff>
      <xdr:row>4</xdr:row>
      <xdr:rowOff>76200</xdr:rowOff>
    </xdr:from>
    <xdr:to>
      <xdr:col>4</xdr:col>
      <xdr:colOff>0</xdr:colOff>
      <xdr:row>8</xdr:row>
      <xdr:rowOff>142875</xdr:rowOff>
    </xdr:to>
    <xdr:sp macro="" textlink="">
      <xdr:nvSpPr>
        <xdr:cNvPr id="3" name="Rectangle: Rounded Corners 2">
          <a:extLst>
            <a:ext uri="{FF2B5EF4-FFF2-40B4-BE49-F238E27FC236}">
              <a16:creationId xmlns:a16="http://schemas.microsoft.com/office/drawing/2014/main" id="{05931AF1-6535-424B-9923-8B812905B255}"/>
            </a:ext>
          </a:extLst>
        </xdr:cNvPr>
        <xdr:cNvSpPr/>
      </xdr:nvSpPr>
      <xdr:spPr>
        <a:xfrm>
          <a:off x="0" y="809625"/>
          <a:ext cx="2743200" cy="7905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0</xdr:col>
      <xdr:colOff>0</xdr:colOff>
      <xdr:row>4</xdr:row>
      <xdr:rowOff>85725</xdr:rowOff>
    </xdr:from>
    <xdr:to>
      <xdr:col>1</xdr:col>
      <xdr:colOff>66675</xdr:colOff>
      <xdr:row>8</xdr:row>
      <xdr:rowOff>142875</xdr:rowOff>
    </xdr:to>
    <xdr:sp macro="" textlink="">
      <xdr:nvSpPr>
        <xdr:cNvPr id="4" name="Rectangle: Rounded Corners 3">
          <a:extLst>
            <a:ext uri="{FF2B5EF4-FFF2-40B4-BE49-F238E27FC236}">
              <a16:creationId xmlns:a16="http://schemas.microsoft.com/office/drawing/2014/main" id="{6BBE3D2E-71CD-4196-95D8-E42B5E10D897}"/>
            </a:ext>
          </a:extLst>
        </xdr:cNvPr>
        <xdr:cNvSpPr/>
      </xdr:nvSpPr>
      <xdr:spPr>
        <a:xfrm>
          <a:off x="0" y="819150"/>
          <a:ext cx="752475" cy="781050"/>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238125</xdr:colOff>
      <xdr:row>4</xdr:row>
      <xdr:rowOff>104775</xdr:rowOff>
    </xdr:from>
    <xdr:to>
      <xdr:col>3</xdr:col>
      <xdr:colOff>514350</xdr:colOff>
      <xdr:row>8</xdr:row>
      <xdr:rowOff>19050</xdr:rowOff>
    </xdr:to>
    <xdr:grpSp>
      <xdr:nvGrpSpPr>
        <xdr:cNvPr id="7" name="Group 6">
          <a:extLst>
            <a:ext uri="{FF2B5EF4-FFF2-40B4-BE49-F238E27FC236}">
              <a16:creationId xmlns:a16="http://schemas.microsoft.com/office/drawing/2014/main" id="{C970DF70-68D2-47C4-BE5F-2FC18C22E219}"/>
            </a:ext>
          </a:extLst>
        </xdr:cNvPr>
        <xdr:cNvGrpSpPr/>
      </xdr:nvGrpSpPr>
      <xdr:grpSpPr>
        <a:xfrm>
          <a:off x="930852" y="814820"/>
          <a:ext cx="1661680" cy="607003"/>
          <a:chOff x="923925" y="933450"/>
          <a:chExt cx="1647825" cy="638175"/>
        </a:xfrm>
        <a:solidFill>
          <a:schemeClr val="accent1"/>
        </a:solidFill>
      </xdr:grpSpPr>
      <xdr:sp macro="" textlink="">
        <xdr:nvSpPr>
          <xdr:cNvPr id="5" name="TextBox 4">
            <a:extLst>
              <a:ext uri="{FF2B5EF4-FFF2-40B4-BE49-F238E27FC236}">
                <a16:creationId xmlns:a16="http://schemas.microsoft.com/office/drawing/2014/main" id="{7F3B5554-A9A7-4E48-BA83-230FB477807C}"/>
              </a:ext>
            </a:extLst>
          </xdr:cNvPr>
          <xdr:cNvSpPr txBox="1"/>
        </xdr:nvSpPr>
        <xdr:spPr>
          <a:xfrm>
            <a:off x="923925" y="933450"/>
            <a:ext cx="1609725" cy="2286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TOTAL</a:t>
            </a:r>
            <a:r>
              <a:rPr lang="en-IN" sz="1200" b="1" baseline="0">
                <a:solidFill>
                  <a:schemeClr val="accent1"/>
                </a:solidFill>
              </a:rPr>
              <a:t> SALES</a:t>
            </a:r>
            <a:endParaRPr lang="en-IN" sz="1200" b="1">
              <a:solidFill>
                <a:schemeClr val="accent1"/>
              </a:solidFill>
            </a:endParaRPr>
          </a:p>
        </xdr:txBody>
      </xdr:sp>
      <xdr:sp macro="" textlink="SalesData!J2">
        <xdr:nvSpPr>
          <xdr:cNvPr id="6" name="TextBox 5">
            <a:extLst>
              <a:ext uri="{FF2B5EF4-FFF2-40B4-BE49-F238E27FC236}">
                <a16:creationId xmlns:a16="http://schemas.microsoft.com/office/drawing/2014/main" id="{7C00895C-0C7F-4269-B266-96C27FF7EB5F}"/>
              </a:ext>
            </a:extLst>
          </xdr:cNvPr>
          <xdr:cNvSpPr txBox="1"/>
        </xdr:nvSpPr>
        <xdr:spPr>
          <a:xfrm>
            <a:off x="923925" y="1257300"/>
            <a:ext cx="1647825" cy="3143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828CC60-E27F-44B4-8B5F-D469004DB41E}" type="TxLink">
              <a:rPr lang="en-US" sz="1400" b="1" i="0" u="none" strike="noStrike">
                <a:solidFill>
                  <a:schemeClr val="accent1"/>
                </a:solidFill>
                <a:latin typeface="Aptos Narrow"/>
              </a:rPr>
              <a:pPr algn="l"/>
              <a:t> Rs. 1,29,44,500 </a:t>
            </a:fld>
            <a:endParaRPr lang="en-IN" sz="1400" b="1">
              <a:solidFill>
                <a:schemeClr val="accent1"/>
              </a:solidFill>
            </a:endParaRPr>
          </a:p>
        </xdr:txBody>
      </xdr:sp>
    </xdr:grpSp>
    <xdr:clientData/>
  </xdr:twoCellAnchor>
  <xdr:twoCellAnchor>
    <xdr:from>
      <xdr:col>8</xdr:col>
      <xdr:colOff>361949</xdr:colOff>
      <xdr:row>4</xdr:row>
      <xdr:rowOff>76200</xdr:rowOff>
    </xdr:from>
    <xdr:to>
      <xdr:col>12</xdr:col>
      <xdr:colOff>361950</xdr:colOff>
      <xdr:row>8</xdr:row>
      <xdr:rowOff>142875</xdr:rowOff>
    </xdr:to>
    <xdr:grpSp>
      <xdr:nvGrpSpPr>
        <xdr:cNvPr id="39" name="Group 38">
          <a:extLst>
            <a:ext uri="{FF2B5EF4-FFF2-40B4-BE49-F238E27FC236}">
              <a16:creationId xmlns:a16="http://schemas.microsoft.com/office/drawing/2014/main" id="{16CD8665-B7F5-4847-A87F-B5883F081A6A}"/>
            </a:ext>
          </a:extLst>
        </xdr:cNvPr>
        <xdr:cNvGrpSpPr/>
      </xdr:nvGrpSpPr>
      <xdr:grpSpPr>
        <a:xfrm>
          <a:off x="5903767" y="786245"/>
          <a:ext cx="2770910" cy="759403"/>
          <a:chOff x="5848349" y="809625"/>
          <a:chExt cx="2743201" cy="790575"/>
        </a:xfrm>
      </xdr:grpSpPr>
      <xdr:sp macro="" textlink="">
        <xdr:nvSpPr>
          <xdr:cNvPr id="10" name="Rectangle: Rounded Corners 9">
            <a:extLst>
              <a:ext uri="{FF2B5EF4-FFF2-40B4-BE49-F238E27FC236}">
                <a16:creationId xmlns:a16="http://schemas.microsoft.com/office/drawing/2014/main" id="{6CD893BF-6C53-4090-87D0-297AB3413B49}"/>
              </a:ext>
            </a:extLst>
          </xdr:cNvPr>
          <xdr:cNvSpPr/>
        </xdr:nvSpPr>
        <xdr:spPr>
          <a:xfrm>
            <a:off x="5848350" y="809625"/>
            <a:ext cx="2743200" cy="79057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14" name="Rectangle: Rounded Corners 13">
            <a:extLst>
              <a:ext uri="{FF2B5EF4-FFF2-40B4-BE49-F238E27FC236}">
                <a16:creationId xmlns:a16="http://schemas.microsoft.com/office/drawing/2014/main" id="{0AB2F947-C9FE-4EF3-B1D8-52563708BFCA}"/>
              </a:ext>
            </a:extLst>
          </xdr:cNvPr>
          <xdr:cNvSpPr/>
        </xdr:nvSpPr>
        <xdr:spPr>
          <a:xfrm>
            <a:off x="5848349" y="819149"/>
            <a:ext cx="771525" cy="77152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TextBox 17">
            <a:extLst>
              <a:ext uri="{FF2B5EF4-FFF2-40B4-BE49-F238E27FC236}">
                <a16:creationId xmlns:a16="http://schemas.microsoft.com/office/drawing/2014/main" id="{F9D93366-12EF-4244-8371-CB08730EDC6E}"/>
              </a:ext>
            </a:extLst>
          </xdr:cNvPr>
          <xdr:cNvSpPr txBox="1"/>
        </xdr:nvSpPr>
        <xdr:spPr>
          <a:xfrm>
            <a:off x="6791325" y="857250"/>
            <a:ext cx="1514475"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UNITS SOLD</a:t>
            </a:r>
          </a:p>
        </xdr:txBody>
      </xdr:sp>
      <xdr:sp macro="" textlink="SalesData!J4">
        <xdr:nvSpPr>
          <xdr:cNvPr id="20" name="TextBox 19">
            <a:extLst>
              <a:ext uri="{FF2B5EF4-FFF2-40B4-BE49-F238E27FC236}">
                <a16:creationId xmlns:a16="http://schemas.microsoft.com/office/drawing/2014/main" id="{06443631-1FD7-4EDD-AA20-8A6E2BD3DBDB}"/>
              </a:ext>
            </a:extLst>
          </xdr:cNvPr>
          <xdr:cNvSpPr txBox="1"/>
        </xdr:nvSpPr>
        <xdr:spPr>
          <a:xfrm>
            <a:off x="6800849" y="1171575"/>
            <a:ext cx="1600201"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F66852-F9F2-45A0-8DC0-502EFADC2248}" type="TxLink">
              <a:rPr lang="en-US" sz="1400" b="1" i="0" u="none" strike="noStrike">
                <a:solidFill>
                  <a:schemeClr val="accent1"/>
                </a:solidFill>
                <a:latin typeface="Aptos Narrow"/>
              </a:rPr>
              <a:pPr/>
              <a:t>4705</a:t>
            </a:fld>
            <a:endParaRPr lang="en-IN" sz="1400" b="1">
              <a:solidFill>
                <a:schemeClr val="accent1"/>
              </a:solidFill>
            </a:endParaRPr>
          </a:p>
        </xdr:txBody>
      </xdr:sp>
    </xdr:grpSp>
    <xdr:clientData/>
  </xdr:twoCellAnchor>
  <xdr:twoCellAnchor>
    <xdr:from>
      <xdr:col>12</xdr:col>
      <xdr:colOff>542924</xdr:colOff>
      <xdr:row>4</xdr:row>
      <xdr:rowOff>85724</xdr:rowOff>
    </xdr:from>
    <xdr:to>
      <xdr:col>16</xdr:col>
      <xdr:colOff>552450</xdr:colOff>
      <xdr:row>8</xdr:row>
      <xdr:rowOff>152400</xdr:rowOff>
    </xdr:to>
    <xdr:grpSp>
      <xdr:nvGrpSpPr>
        <xdr:cNvPr id="46" name="Group 45">
          <a:extLst>
            <a:ext uri="{FF2B5EF4-FFF2-40B4-BE49-F238E27FC236}">
              <a16:creationId xmlns:a16="http://schemas.microsoft.com/office/drawing/2014/main" id="{F2CED2C5-C2EE-4FFA-B6E3-06CE718EB9DD}"/>
            </a:ext>
          </a:extLst>
        </xdr:cNvPr>
        <xdr:cNvGrpSpPr/>
      </xdr:nvGrpSpPr>
      <xdr:grpSpPr>
        <a:xfrm>
          <a:off x="8855651" y="795769"/>
          <a:ext cx="2780435" cy="759404"/>
          <a:chOff x="8772524" y="819149"/>
          <a:chExt cx="2752726" cy="790576"/>
        </a:xfrm>
      </xdr:grpSpPr>
      <xdr:sp macro="" textlink="">
        <xdr:nvSpPr>
          <xdr:cNvPr id="12" name="Rectangle: Rounded Corners 11">
            <a:extLst>
              <a:ext uri="{FF2B5EF4-FFF2-40B4-BE49-F238E27FC236}">
                <a16:creationId xmlns:a16="http://schemas.microsoft.com/office/drawing/2014/main" id="{3818FE11-EC60-4ED9-A9AD-73B4CC21C4F1}"/>
              </a:ext>
            </a:extLst>
          </xdr:cNvPr>
          <xdr:cNvSpPr/>
        </xdr:nvSpPr>
        <xdr:spPr>
          <a:xfrm>
            <a:off x="8782050" y="819150"/>
            <a:ext cx="2743200" cy="79057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16" name="Rectangle: Rounded Corners 15">
            <a:extLst>
              <a:ext uri="{FF2B5EF4-FFF2-40B4-BE49-F238E27FC236}">
                <a16:creationId xmlns:a16="http://schemas.microsoft.com/office/drawing/2014/main" id="{84CD6B5A-A4D9-4E46-A359-239305BBB1E0}"/>
              </a:ext>
            </a:extLst>
          </xdr:cNvPr>
          <xdr:cNvSpPr/>
        </xdr:nvSpPr>
        <xdr:spPr>
          <a:xfrm>
            <a:off x="8772524" y="819149"/>
            <a:ext cx="771525" cy="77152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9DAA3F8C-BDFC-4938-B9CD-23759DEA7E88}"/>
              </a:ext>
            </a:extLst>
          </xdr:cNvPr>
          <xdr:cNvSpPr txBox="1"/>
        </xdr:nvSpPr>
        <xdr:spPr>
          <a:xfrm>
            <a:off x="9705975" y="857250"/>
            <a:ext cx="1514475"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PROFIT</a:t>
            </a:r>
          </a:p>
        </xdr:txBody>
      </xdr:sp>
      <xdr:sp macro="" textlink="SalesData!J6">
        <xdr:nvSpPr>
          <xdr:cNvPr id="23" name="TextBox 22">
            <a:extLst>
              <a:ext uri="{FF2B5EF4-FFF2-40B4-BE49-F238E27FC236}">
                <a16:creationId xmlns:a16="http://schemas.microsoft.com/office/drawing/2014/main" id="{ACC6C861-AD27-4AF8-ADFD-CD0E0B71FF9E}"/>
              </a:ext>
            </a:extLst>
          </xdr:cNvPr>
          <xdr:cNvSpPr txBox="1"/>
        </xdr:nvSpPr>
        <xdr:spPr>
          <a:xfrm>
            <a:off x="9715500" y="1181100"/>
            <a:ext cx="1609725" cy="2952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A9966F3-0B12-4C6D-8227-41E1E31D15E1}" type="TxLink">
              <a:rPr lang="en-US" sz="1400" b="1" i="0" u="none" strike="noStrike">
                <a:solidFill>
                  <a:schemeClr val="accent1"/>
                </a:solidFill>
                <a:latin typeface="Aptos Narrow"/>
              </a:rPr>
              <a:pPr/>
              <a:t> Rs. 38,34,400 </a:t>
            </a:fld>
            <a:endParaRPr lang="en-IN" sz="1400" b="1">
              <a:solidFill>
                <a:schemeClr val="accent1"/>
              </a:solidFill>
            </a:endParaRPr>
          </a:p>
        </xdr:txBody>
      </xdr:sp>
    </xdr:grpSp>
    <xdr:clientData/>
  </xdr:twoCellAnchor>
  <xdr:twoCellAnchor>
    <xdr:from>
      <xdr:col>0</xdr:col>
      <xdr:colOff>28575</xdr:colOff>
      <xdr:row>4</xdr:row>
      <xdr:rowOff>85725</xdr:rowOff>
    </xdr:from>
    <xdr:to>
      <xdr:col>1</xdr:col>
      <xdr:colOff>95250</xdr:colOff>
      <xdr:row>8</xdr:row>
      <xdr:rowOff>142875</xdr:rowOff>
    </xdr:to>
    <xdr:sp macro="" textlink="">
      <xdr:nvSpPr>
        <xdr:cNvPr id="24" name="Rectangle: Rounded Corners 23">
          <a:extLst>
            <a:ext uri="{FF2B5EF4-FFF2-40B4-BE49-F238E27FC236}">
              <a16:creationId xmlns:a16="http://schemas.microsoft.com/office/drawing/2014/main" id="{9698E1FB-E41D-4F7E-8FAD-A6227E7A34AB}"/>
            </a:ext>
          </a:extLst>
        </xdr:cNvPr>
        <xdr:cNvSpPr/>
      </xdr:nvSpPr>
      <xdr:spPr>
        <a:xfrm>
          <a:off x="28575" y="819150"/>
          <a:ext cx="752475" cy="781050"/>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247650</xdr:colOff>
      <xdr:row>5</xdr:row>
      <xdr:rowOff>0</xdr:rowOff>
    </xdr:from>
    <xdr:to>
      <xdr:col>3</xdr:col>
      <xdr:colOff>523875</xdr:colOff>
      <xdr:row>8</xdr:row>
      <xdr:rowOff>95250</xdr:rowOff>
    </xdr:to>
    <xdr:grpSp>
      <xdr:nvGrpSpPr>
        <xdr:cNvPr id="25" name="Group 24">
          <a:extLst>
            <a:ext uri="{FF2B5EF4-FFF2-40B4-BE49-F238E27FC236}">
              <a16:creationId xmlns:a16="http://schemas.microsoft.com/office/drawing/2014/main" id="{3E659B52-29B1-47B3-9FE0-24E2FEB836D6}"/>
            </a:ext>
          </a:extLst>
        </xdr:cNvPr>
        <xdr:cNvGrpSpPr/>
      </xdr:nvGrpSpPr>
      <xdr:grpSpPr>
        <a:xfrm>
          <a:off x="940377" y="883227"/>
          <a:ext cx="1661680" cy="614796"/>
          <a:chOff x="923925" y="933450"/>
          <a:chExt cx="1647825" cy="638175"/>
        </a:xfrm>
        <a:solidFill>
          <a:schemeClr val="accent1"/>
        </a:solidFill>
      </xdr:grpSpPr>
      <xdr:sp macro="" textlink="">
        <xdr:nvSpPr>
          <xdr:cNvPr id="26" name="TextBox 25">
            <a:extLst>
              <a:ext uri="{FF2B5EF4-FFF2-40B4-BE49-F238E27FC236}">
                <a16:creationId xmlns:a16="http://schemas.microsoft.com/office/drawing/2014/main" id="{DE5AF75D-F597-4811-AEE3-B52E73C9F99E}"/>
              </a:ext>
            </a:extLst>
          </xdr:cNvPr>
          <xdr:cNvSpPr txBox="1"/>
        </xdr:nvSpPr>
        <xdr:spPr>
          <a:xfrm>
            <a:off x="923925" y="933450"/>
            <a:ext cx="1609725" cy="228600"/>
          </a:xfrm>
          <a:prstGeom prst="rect">
            <a:avLst/>
          </a:prstGeom>
          <a:solidFill>
            <a:sysClr val="window" lastClr="FFFFFF"/>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TOTAL</a:t>
            </a:r>
            <a:r>
              <a:rPr lang="en-IN" sz="1200" b="1" baseline="0">
                <a:solidFill>
                  <a:schemeClr val="accent1"/>
                </a:solidFill>
              </a:rPr>
              <a:t> SALES</a:t>
            </a:r>
            <a:endParaRPr lang="en-IN" sz="1200" b="1">
              <a:solidFill>
                <a:schemeClr val="accent1"/>
              </a:solidFill>
            </a:endParaRPr>
          </a:p>
        </xdr:txBody>
      </xdr:sp>
      <xdr:sp macro="" textlink="SalesData!J2">
        <xdr:nvSpPr>
          <xdr:cNvPr id="27" name="TextBox 26">
            <a:extLst>
              <a:ext uri="{FF2B5EF4-FFF2-40B4-BE49-F238E27FC236}">
                <a16:creationId xmlns:a16="http://schemas.microsoft.com/office/drawing/2014/main" id="{6551AD4E-054A-48A0-A49F-6C9CDE176C87}"/>
              </a:ext>
            </a:extLst>
          </xdr:cNvPr>
          <xdr:cNvSpPr txBox="1"/>
        </xdr:nvSpPr>
        <xdr:spPr>
          <a:xfrm>
            <a:off x="923925" y="1257300"/>
            <a:ext cx="1647825" cy="314325"/>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828CC60-E27F-44B4-8B5F-D469004DB41E}" type="TxLink">
              <a:rPr lang="en-US" sz="1400" b="1" i="0" u="none" strike="noStrike">
                <a:solidFill>
                  <a:schemeClr val="accent1"/>
                </a:solidFill>
                <a:latin typeface="Aptos Narrow"/>
              </a:rPr>
              <a:pPr algn="l"/>
              <a:t> Rs. 1,29,44,500 </a:t>
            </a:fld>
            <a:endParaRPr lang="en-IN" sz="1400" b="1">
              <a:solidFill>
                <a:schemeClr val="accent1"/>
              </a:solidFill>
            </a:endParaRPr>
          </a:p>
        </xdr:txBody>
      </xdr:sp>
    </xdr:grpSp>
    <xdr:clientData/>
  </xdr:twoCellAnchor>
  <xdr:twoCellAnchor>
    <xdr:from>
      <xdr:col>4</xdr:col>
      <xdr:colOff>190500</xdr:colOff>
      <xdr:row>4</xdr:row>
      <xdr:rowOff>104776</xdr:rowOff>
    </xdr:from>
    <xdr:to>
      <xdr:col>8</xdr:col>
      <xdr:colOff>190500</xdr:colOff>
      <xdr:row>8</xdr:row>
      <xdr:rowOff>142876</xdr:rowOff>
    </xdr:to>
    <xdr:grpSp>
      <xdr:nvGrpSpPr>
        <xdr:cNvPr id="38" name="Group 37">
          <a:extLst>
            <a:ext uri="{FF2B5EF4-FFF2-40B4-BE49-F238E27FC236}">
              <a16:creationId xmlns:a16="http://schemas.microsoft.com/office/drawing/2014/main" id="{4523A506-7DBC-4BBB-9821-35A3141E99E4}"/>
            </a:ext>
          </a:extLst>
        </xdr:cNvPr>
        <xdr:cNvGrpSpPr/>
      </xdr:nvGrpSpPr>
      <xdr:grpSpPr>
        <a:xfrm>
          <a:off x="2961409" y="814821"/>
          <a:ext cx="2770909" cy="730828"/>
          <a:chOff x="2933700" y="838201"/>
          <a:chExt cx="2743200" cy="762000"/>
        </a:xfrm>
      </xdr:grpSpPr>
      <xdr:sp macro="" textlink="">
        <xdr:nvSpPr>
          <xdr:cNvPr id="33" name="Rectangle: Rounded Corners 32">
            <a:extLst>
              <a:ext uri="{FF2B5EF4-FFF2-40B4-BE49-F238E27FC236}">
                <a16:creationId xmlns:a16="http://schemas.microsoft.com/office/drawing/2014/main" id="{E2335E93-2257-482C-B96E-ED413CB20282}"/>
              </a:ext>
            </a:extLst>
          </xdr:cNvPr>
          <xdr:cNvSpPr/>
        </xdr:nvSpPr>
        <xdr:spPr>
          <a:xfrm>
            <a:off x="2933700" y="838201"/>
            <a:ext cx="2743200" cy="762000"/>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sp macro="" textlink="">
        <xdr:nvSpPr>
          <xdr:cNvPr id="35" name="Rectangle: Rounded Corners 34">
            <a:extLst>
              <a:ext uri="{FF2B5EF4-FFF2-40B4-BE49-F238E27FC236}">
                <a16:creationId xmlns:a16="http://schemas.microsoft.com/office/drawing/2014/main" id="{FD209ED8-549D-40AC-A6C7-A435459F79C6}"/>
              </a:ext>
            </a:extLst>
          </xdr:cNvPr>
          <xdr:cNvSpPr/>
        </xdr:nvSpPr>
        <xdr:spPr>
          <a:xfrm>
            <a:off x="2933700" y="847725"/>
            <a:ext cx="781050" cy="73342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6" name="TextBox 35">
            <a:extLst>
              <a:ext uri="{FF2B5EF4-FFF2-40B4-BE49-F238E27FC236}">
                <a16:creationId xmlns:a16="http://schemas.microsoft.com/office/drawing/2014/main" id="{3048ABAE-38A8-4CD8-9EA0-B8EAD6FF84B7}"/>
              </a:ext>
            </a:extLst>
          </xdr:cNvPr>
          <xdr:cNvSpPr txBox="1"/>
        </xdr:nvSpPr>
        <xdr:spPr>
          <a:xfrm>
            <a:off x="3848100" y="895350"/>
            <a:ext cx="1590675" cy="247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solidFill>
              </a:rPr>
              <a:t>AVERAGE</a:t>
            </a:r>
            <a:r>
              <a:rPr lang="en-IN" sz="1200" b="1" baseline="0">
                <a:solidFill>
                  <a:schemeClr val="accent1"/>
                </a:solidFill>
              </a:rPr>
              <a:t> SALES</a:t>
            </a:r>
            <a:endParaRPr lang="en-IN" sz="1200" b="1">
              <a:solidFill>
                <a:schemeClr val="accent1"/>
              </a:solidFill>
            </a:endParaRPr>
          </a:p>
        </xdr:txBody>
      </xdr:sp>
      <xdr:sp macro="" textlink="SalesData!J8">
        <xdr:nvSpPr>
          <xdr:cNvPr id="37" name="TextBox 36">
            <a:extLst>
              <a:ext uri="{FF2B5EF4-FFF2-40B4-BE49-F238E27FC236}">
                <a16:creationId xmlns:a16="http://schemas.microsoft.com/office/drawing/2014/main" id="{F787168F-71F7-4C08-8DA9-3C3CC12A17E0}"/>
              </a:ext>
            </a:extLst>
          </xdr:cNvPr>
          <xdr:cNvSpPr txBox="1"/>
        </xdr:nvSpPr>
        <xdr:spPr>
          <a:xfrm>
            <a:off x="3848100" y="1209676"/>
            <a:ext cx="1647825" cy="276224"/>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4BE6E8-8A9D-4F4C-9170-BAFC0EB6E3A7}" type="TxLink">
              <a:rPr lang="en-US" sz="1400" b="1" i="0" u="none" strike="noStrike">
                <a:solidFill>
                  <a:schemeClr val="accent1"/>
                </a:solidFill>
                <a:latin typeface="Aptos Narrow"/>
              </a:rPr>
              <a:pPr/>
              <a:t> Rs. 2,58,890 </a:t>
            </a:fld>
            <a:endParaRPr lang="en-IN" sz="1400" b="1">
              <a:solidFill>
                <a:schemeClr val="accent1"/>
              </a:solidFill>
            </a:endParaRPr>
          </a:p>
        </xdr:txBody>
      </xdr:sp>
    </xdr:grpSp>
    <xdr:clientData/>
  </xdr:twoCellAnchor>
  <xdr:twoCellAnchor editAs="oneCell">
    <xdr:from>
      <xdr:col>4</xdr:col>
      <xdr:colOff>390524</xdr:colOff>
      <xdr:row>5</xdr:row>
      <xdr:rowOff>85724</xdr:rowOff>
    </xdr:from>
    <xdr:to>
      <xdr:col>5</xdr:col>
      <xdr:colOff>119099</xdr:colOff>
      <xdr:row>7</xdr:row>
      <xdr:rowOff>138149</xdr:rowOff>
    </xdr:to>
    <xdr:pic>
      <xdr:nvPicPr>
        <xdr:cNvPr id="48" name="Graphic 47" descr="Coins">
          <a:extLst>
            <a:ext uri="{FF2B5EF4-FFF2-40B4-BE49-F238E27FC236}">
              <a16:creationId xmlns:a16="http://schemas.microsoft.com/office/drawing/2014/main" id="{353D4895-12A1-4F29-BD84-11909C9DD99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33724" y="1000124"/>
          <a:ext cx="414375" cy="414375"/>
        </a:xfrm>
        <a:prstGeom prst="rect">
          <a:avLst/>
        </a:prstGeom>
      </xdr:spPr>
    </xdr:pic>
    <xdr:clientData/>
  </xdr:twoCellAnchor>
  <xdr:twoCellAnchor editAs="oneCell">
    <xdr:from>
      <xdr:col>8</xdr:col>
      <xdr:colOff>559574</xdr:colOff>
      <xdr:row>5</xdr:row>
      <xdr:rowOff>45224</xdr:rowOff>
    </xdr:from>
    <xdr:to>
      <xdr:col>9</xdr:col>
      <xdr:colOff>288149</xdr:colOff>
      <xdr:row>7</xdr:row>
      <xdr:rowOff>97649</xdr:rowOff>
    </xdr:to>
    <xdr:pic>
      <xdr:nvPicPr>
        <xdr:cNvPr id="50" name="Graphic 49" descr="Gold bars">
          <a:extLst>
            <a:ext uri="{FF2B5EF4-FFF2-40B4-BE49-F238E27FC236}">
              <a16:creationId xmlns:a16="http://schemas.microsoft.com/office/drawing/2014/main" id="{27B6DB9A-F6AC-4945-BA01-3D0AF28278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6045974" y="959624"/>
          <a:ext cx="414375" cy="414375"/>
        </a:xfrm>
        <a:prstGeom prst="rect">
          <a:avLst/>
        </a:prstGeom>
      </xdr:spPr>
    </xdr:pic>
    <xdr:clientData/>
  </xdr:twoCellAnchor>
  <xdr:twoCellAnchor editAs="oneCell">
    <xdr:from>
      <xdr:col>0</xdr:col>
      <xdr:colOff>204749</xdr:colOff>
      <xdr:row>5</xdr:row>
      <xdr:rowOff>90449</xdr:rowOff>
    </xdr:from>
    <xdr:to>
      <xdr:col>0</xdr:col>
      <xdr:colOff>619124</xdr:colOff>
      <xdr:row>7</xdr:row>
      <xdr:rowOff>142874</xdr:rowOff>
    </xdr:to>
    <xdr:pic>
      <xdr:nvPicPr>
        <xdr:cNvPr id="52" name="Graphic 51" descr="Rupee">
          <a:extLst>
            <a:ext uri="{FF2B5EF4-FFF2-40B4-BE49-F238E27FC236}">
              <a16:creationId xmlns:a16="http://schemas.microsoft.com/office/drawing/2014/main" id="{37C2BEA5-A972-4F80-ABD9-F08EE108D45D}"/>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4749" y="1004849"/>
          <a:ext cx="414375" cy="414375"/>
        </a:xfrm>
        <a:prstGeom prst="rect">
          <a:avLst/>
        </a:prstGeom>
      </xdr:spPr>
    </xdr:pic>
    <xdr:clientData/>
  </xdr:twoCellAnchor>
  <xdr:twoCellAnchor editAs="oneCell">
    <xdr:from>
      <xdr:col>13</xdr:col>
      <xdr:colOff>21374</xdr:colOff>
      <xdr:row>5</xdr:row>
      <xdr:rowOff>49949</xdr:rowOff>
    </xdr:from>
    <xdr:to>
      <xdr:col>13</xdr:col>
      <xdr:colOff>435749</xdr:colOff>
      <xdr:row>7</xdr:row>
      <xdr:rowOff>102374</xdr:rowOff>
    </xdr:to>
    <xdr:pic>
      <xdr:nvPicPr>
        <xdr:cNvPr id="54" name="Graphic 53" descr="Upward trend">
          <a:extLst>
            <a:ext uri="{FF2B5EF4-FFF2-40B4-BE49-F238E27FC236}">
              <a16:creationId xmlns:a16="http://schemas.microsoft.com/office/drawing/2014/main" id="{304E15AD-921E-4DF7-B83A-119414E52B5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8936774" y="964349"/>
          <a:ext cx="414375" cy="414375"/>
        </a:xfrm>
        <a:prstGeom prst="rect">
          <a:avLst/>
        </a:prstGeom>
      </xdr:spPr>
    </xdr:pic>
    <xdr:clientData/>
  </xdr:twoCellAnchor>
  <xdr:twoCellAnchor editAs="oneCell">
    <xdr:from>
      <xdr:col>17</xdr:col>
      <xdr:colOff>9525</xdr:colOff>
      <xdr:row>4</xdr:row>
      <xdr:rowOff>104775</xdr:rowOff>
    </xdr:from>
    <xdr:to>
      <xdr:col>22</xdr:col>
      <xdr:colOff>619125</xdr:colOff>
      <xdr:row>8</xdr:row>
      <xdr:rowOff>142875</xdr:rowOff>
    </xdr:to>
    <mc:AlternateContent xmlns:mc="http://schemas.openxmlformats.org/markup-compatibility/2006" xmlns:a14="http://schemas.microsoft.com/office/drawing/2010/main">
      <mc:Choice Requires="a14">
        <xdr:graphicFrame macro="">
          <xdr:nvGraphicFramePr>
            <xdr:cNvPr id="56" name="Region 2">
              <a:extLst>
                <a:ext uri="{FF2B5EF4-FFF2-40B4-BE49-F238E27FC236}">
                  <a16:creationId xmlns:a16="http://schemas.microsoft.com/office/drawing/2014/main" id="{41BFF422-F2C9-495E-9DDE-7222090A3B3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575596" y="825954"/>
              <a:ext cx="4011386" cy="7456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8</xdr:row>
      <xdr:rowOff>161925</xdr:rowOff>
    </xdr:from>
    <xdr:to>
      <xdr:col>2</xdr:col>
      <xdr:colOff>676274</xdr:colOff>
      <xdr:row>22</xdr:row>
      <xdr:rowOff>114300</xdr:rowOff>
    </xdr:to>
    <mc:AlternateContent xmlns:mc="http://schemas.openxmlformats.org/markup-compatibility/2006" xmlns:a14="http://schemas.microsoft.com/office/drawing/2010/main">
      <mc:Choice Requires="a14">
        <xdr:graphicFrame macro="">
          <xdr:nvGraphicFramePr>
            <xdr:cNvPr id="61" name="Product 1">
              <a:extLst>
                <a:ext uri="{FF2B5EF4-FFF2-40B4-BE49-F238E27FC236}">
                  <a16:creationId xmlns:a16="http://schemas.microsoft.com/office/drawing/2014/main" id="{6505C74A-9602-4A5D-AE92-33545D083255}"/>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1590675"/>
              <a:ext cx="2036988" cy="2428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142875</xdr:rowOff>
    </xdr:from>
    <xdr:to>
      <xdr:col>2</xdr:col>
      <xdr:colOff>666750</xdr:colOff>
      <xdr:row>60</xdr:row>
      <xdr:rowOff>68036</xdr:rowOff>
    </xdr:to>
    <mc:AlternateContent xmlns:mc="http://schemas.openxmlformats.org/markup-compatibility/2006" xmlns:a14="http://schemas.microsoft.com/office/drawing/2010/main">
      <mc:Choice Requires="a14">
        <xdr:graphicFrame macro="">
          <xdr:nvGraphicFramePr>
            <xdr:cNvPr id="62" name="Sales Person 1">
              <a:extLst>
                <a:ext uri="{FF2B5EF4-FFF2-40B4-BE49-F238E27FC236}">
                  <a16:creationId xmlns:a16="http://schemas.microsoft.com/office/drawing/2014/main" id="{442C581E-C36C-4DA1-8A67-F98EF1B09B75}"/>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4048125"/>
              <a:ext cx="2027464" cy="35569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9525</xdr:colOff>
      <xdr:row>8</xdr:row>
      <xdr:rowOff>171449</xdr:rowOff>
    </xdr:from>
    <xdr:to>
      <xdr:col>13</xdr:col>
      <xdr:colOff>666750</xdr:colOff>
      <xdr:row>28</xdr:row>
      <xdr:rowOff>104774</xdr:rowOff>
    </xdr:to>
    <xdr:sp macro="" textlink="">
      <xdr:nvSpPr>
        <xdr:cNvPr id="63" name="Rectangle: Rounded Corners 62">
          <a:extLst>
            <a:ext uri="{FF2B5EF4-FFF2-40B4-BE49-F238E27FC236}">
              <a16:creationId xmlns:a16="http://schemas.microsoft.com/office/drawing/2014/main" id="{E3D7F5A3-8A04-4C00-A805-8CA27B6D2262}"/>
            </a:ext>
          </a:extLst>
        </xdr:cNvPr>
        <xdr:cNvSpPr/>
      </xdr:nvSpPr>
      <xdr:spPr>
        <a:xfrm>
          <a:off x="2066925" y="1628774"/>
          <a:ext cx="7515225" cy="3552825"/>
        </a:xfrm>
        <a:prstGeom prst="roundRect">
          <a:avLst>
            <a:gd name="adj" fmla="val 11232"/>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UNIT SOLD BY PRODUCT</a:t>
          </a:r>
        </a:p>
      </xdr:txBody>
    </xdr:sp>
    <xdr:clientData/>
  </xdr:twoCellAnchor>
  <xdr:twoCellAnchor>
    <xdr:from>
      <xdr:col>2</xdr:col>
      <xdr:colOff>676275</xdr:colOff>
      <xdr:row>11</xdr:row>
      <xdr:rowOff>57149</xdr:rowOff>
    </xdr:from>
    <xdr:to>
      <xdr:col>13</xdr:col>
      <xdr:colOff>666750</xdr:colOff>
      <xdr:row>29</xdr:row>
      <xdr:rowOff>9524</xdr:rowOff>
    </xdr:to>
    <xdr:graphicFrame macro="">
      <xdr:nvGraphicFramePr>
        <xdr:cNvPr id="64" name="Chart 63">
          <a:extLst>
            <a:ext uri="{FF2B5EF4-FFF2-40B4-BE49-F238E27FC236}">
              <a16:creationId xmlns:a16="http://schemas.microsoft.com/office/drawing/2014/main" id="{BA5E8C5B-CDBC-4870-A151-DC0E5BB040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38100</xdr:colOff>
      <xdr:row>9</xdr:row>
      <xdr:rowOff>1</xdr:rowOff>
    </xdr:from>
    <xdr:to>
      <xdr:col>23</xdr:col>
      <xdr:colOff>0</xdr:colOff>
      <xdr:row>28</xdr:row>
      <xdr:rowOff>142876</xdr:rowOff>
    </xdr:to>
    <xdr:sp macro="" textlink="">
      <xdr:nvSpPr>
        <xdr:cNvPr id="65" name="Rectangle: Rounded Corners 64">
          <a:extLst>
            <a:ext uri="{FF2B5EF4-FFF2-40B4-BE49-F238E27FC236}">
              <a16:creationId xmlns:a16="http://schemas.microsoft.com/office/drawing/2014/main" id="{703F67DA-B21D-43B7-809B-E892FE69DD6C}"/>
            </a:ext>
          </a:extLst>
        </xdr:cNvPr>
        <xdr:cNvSpPr/>
      </xdr:nvSpPr>
      <xdr:spPr>
        <a:xfrm>
          <a:off x="9639300" y="1638301"/>
          <a:ext cx="6134100" cy="3581400"/>
        </a:xfrm>
        <a:prstGeom prst="roundRect">
          <a:avLst>
            <a:gd name="adj" fmla="val 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accent1"/>
              </a:solidFill>
            </a:rPr>
            <a:t>    TOTAL SALES BY REGION</a:t>
          </a:r>
          <a:endParaRPr lang="en-IN" sz="1200" b="1">
            <a:solidFill>
              <a:schemeClr val="accent1"/>
            </a:solidFill>
          </a:endParaRPr>
        </a:p>
      </xdr:txBody>
    </xdr:sp>
    <xdr:clientData/>
  </xdr:twoCellAnchor>
  <xdr:twoCellAnchor>
    <xdr:from>
      <xdr:col>2</xdr:col>
      <xdr:colOff>666751</xdr:colOff>
      <xdr:row>29</xdr:row>
      <xdr:rowOff>19050</xdr:rowOff>
    </xdr:from>
    <xdr:to>
      <xdr:col>13</xdr:col>
      <xdr:colOff>257175</xdr:colOff>
      <xdr:row>42</xdr:row>
      <xdr:rowOff>152400</xdr:rowOff>
    </xdr:to>
    <xdr:sp macro="" textlink="">
      <xdr:nvSpPr>
        <xdr:cNvPr id="66" name="Rectangle: Rounded Corners 65">
          <a:extLst>
            <a:ext uri="{FF2B5EF4-FFF2-40B4-BE49-F238E27FC236}">
              <a16:creationId xmlns:a16="http://schemas.microsoft.com/office/drawing/2014/main" id="{0C19893A-42C9-424E-8B4E-83DD1CF683C1}"/>
            </a:ext>
          </a:extLst>
        </xdr:cNvPr>
        <xdr:cNvSpPr/>
      </xdr:nvSpPr>
      <xdr:spPr>
        <a:xfrm>
          <a:off x="2038351" y="5276850"/>
          <a:ext cx="7134224" cy="2486025"/>
        </a:xfrm>
        <a:prstGeom prst="roundRect">
          <a:avLst>
            <a:gd name="adj" fmla="val 192"/>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baseline="0">
              <a:solidFill>
                <a:schemeClr val="accent1"/>
              </a:solidFill>
            </a:rPr>
            <a:t> TOTAL SALES BY PRODUCT</a:t>
          </a:r>
          <a:endParaRPr lang="en-IN" sz="1200" b="1">
            <a:solidFill>
              <a:schemeClr val="accent1"/>
            </a:solidFill>
          </a:endParaRPr>
        </a:p>
      </xdr:txBody>
    </xdr:sp>
    <xdr:clientData/>
  </xdr:twoCellAnchor>
  <xdr:twoCellAnchor>
    <xdr:from>
      <xdr:col>2</xdr:col>
      <xdr:colOff>666751</xdr:colOff>
      <xdr:row>30</xdr:row>
      <xdr:rowOff>76201</xdr:rowOff>
    </xdr:from>
    <xdr:to>
      <xdr:col>13</xdr:col>
      <xdr:colOff>238125</xdr:colOff>
      <xdr:row>42</xdr:row>
      <xdr:rowOff>171451</xdr:rowOff>
    </xdr:to>
    <xdr:graphicFrame macro="">
      <xdr:nvGraphicFramePr>
        <xdr:cNvPr id="67" name="Chart 66">
          <a:extLst>
            <a:ext uri="{FF2B5EF4-FFF2-40B4-BE49-F238E27FC236}">
              <a16:creationId xmlns:a16="http://schemas.microsoft.com/office/drawing/2014/main" id="{CB32F42C-CF31-4BEA-9BF8-0CC2DFB8B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0</xdr:colOff>
      <xdr:row>11</xdr:row>
      <xdr:rowOff>0</xdr:rowOff>
    </xdr:from>
    <xdr:to>
      <xdr:col>22</xdr:col>
      <xdr:colOff>647700</xdr:colOff>
      <xdr:row>29</xdr:row>
      <xdr:rowOff>0</xdr:rowOff>
    </xdr:to>
    <xdr:graphicFrame macro="">
      <xdr:nvGraphicFramePr>
        <xdr:cNvPr id="68" name="Chart 67">
          <a:extLst>
            <a:ext uri="{FF2B5EF4-FFF2-40B4-BE49-F238E27FC236}">
              <a16:creationId xmlns:a16="http://schemas.microsoft.com/office/drawing/2014/main" id="{6FA6118C-5E8D-43BD-84C7-4D8CB5A81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257175</xdr:colOff>
      <xdr:row>29</xdr:row>
      <xdr:rowOff>28575</xdr:rowOff>
    </xdr:from>
    <xdr:to>
      <xdr:col>22</xdr:col>
      <xdr:colOff>666750</xdr:colOff>
      <xdr:row>42</xdr:row>
      <xdr:rowOff>171449</xdr:rowOff>
    </xdr:to>
    <xdr:sp macro="" textlink="">
      <xdr:nvSpPr>
        <xdr:cNvPr id="69" name="Rectangle: Rounded Corners 68">
          <a:extLst>
            <a:ext uri="{FF2B5EF4-FFF2-40B4-BE49-F238E27FC236}">
              <a16:creationId xmlns:a16="http://schemas.microsoft.com/office/drawing/2014/main" id="{5CD4B520-4778-443A-BD89-4025FC046759}"/>
            </a:ext>
          </a:extLst>
        </xdr:cNvPr>
        <xdr:cNvSpPr/>
      </xdr:nvSpPr>
      <xdr:spPr>
        <a:xfrm>
          <a:off x="9172575" y="5286375"/>
          <a:ext cx="6581775" cy="2495549"/>
        </a:xfrm>
        <a:prstGeom prst="roundRect">
          <a:avLst>
            <a:gd name="adj" fmla="val 0"/>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chemeClr val="accent1"/>
              </a:solidFill>
            </a:rPr>
            <a:t>TOTAL SALES BY SALESPERSON</a:t>
          </a:r>
        </a:p>
      </xdr:txBody>
    </xdr:sp>
    <xdr:clientData/>
  </xdr:twoCellAnchor>
  <xdr:twoCellAnchor>
    <xdr:from>
      <xdr:col>13</xdr:col>
      <xdr:colOff>257174</xdr:colOff>
      <xdr:row>30</xdr:row>
      <xdr:rowOff>76201</xdr:rowOff>
    </xdr:from>
    <xdr:to>
      <xdr:col>22</xdr:col>
      <xdr:colOff>685799</xdr:colOff>
      <xdr:row>42</xdr:row>
      <xdr:rowOff>171451</xdr:rowOff>
    </xdr:to>
    <xdr:graphicFrame macro="">
      <xdr:nvGraphicFramePr>
        <xdr:cNvPr id="70" name="Chart 69">
          <a:extLst>
            <a:ext uri="{FF2B5EF4-FFF2-40B4-BE49-F238E27FC236}">
              <a16:creationId xmlns:a16="http://schemas.microsoft.com/office/drawing/2014/main" id="{6A3C495D-70C9-4E69-AAEE-0CB8778F91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43</xdr:row>
      <xdr:rowOff>40821</xdr:rowOff>
    </xdr:from>
    <xdr:to>
      <xdr:col>23</xdr:col>
      <xdr:colOff>13607</xdr:colOff>
      <xdr:row>54</xdr:row>
      <xdr:rowOff>81643</xdr:rowOff>
    </xdr:to>
    <xdr:sp macro="" textlink="">
      <xdr:nvSpPr>
        <xdr:cNvPr id="8" name="Rectangle: Rounded Corners 7">
          <a:extLst>
            <a:ext uri="{FF2B5EF4-FFF2-40B4-BE49-F238E27FC236}">
              <a16:creationId xmlns:a16="http://schemas.microsoft.com/office/drawing/2014/main" id="{E9384D42-5580-4D0A-86E6-B4B9775E9003}"/>
            </a:ext>
          </a:extLst>
        </xdr:cNvPr>
        <xdr:cNvSpPr/>
      </xdr:nvSpPr>
      <xdr:spPr>
        <a:xfrm>
          <a:off x="2041071" y="7660821"/>
          <a:ext cx="13620750" cy="1986643"/>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0</xdr:colOff>
      <xdr:row>45</xdr:row>
      <xdr:rowOff>13607</xdr:rowOff>
    </xdr:from>
    <xdr:to>
      <xdr:col>23</xdr:col>
      <xdr:colOff>13607</xdr:colOff>
      <xdr:row>60</xdr:row>
      <xdr:rowOff>54428</xdr:rowOff>
    </xdr:to>
    <xdr:graphicFrame macro="">
      <xdr:nvGraphicFramePr>
        <xdr:cNvPr id="43" name="Chart 42">
          <a:extLst>
            <a:ext uri="{FF2B5EF4-FFF2-40B4-BE49-F238E27FC236}">
              <a16:creationId xmlns:a16="http://schemas.microsoft.com/office/drawing/2014/main" id="{1E1DC727-C2B7-4B04-9461-389A086712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0</xdr:col>
      <xdr:colOff>13607</xdr:colOff>
      <xdr:row>41</xdr:row>
      <xdr:rowOff>142875</xdr:rowOff>
    </xdr:from>
    <xdr:to>
      <xdr:col>2</xdr:col>
      <xdr:colOff>639536</xdr:colOff>
      <xdr:row>60</xdr:row>
      <xdr:rowOff>54428</xdr:rowOff>
    </xdr:to>
    <mc:AlternateContent xmlns:mc="http://schemas.openxmlformats.org/markup-compatibility/2006">
      <mc:Choice xmlns:a14="http://schemas.microsoft.com/office/drawing/2010/main" Requires="a14">
        <xdr:graphicFrame macro="">
          <xdr:nvGraphicFramePr>
            <xdr:cNvPr id="44" name="Years 1">
              <a:extLst>
                <a:ext uri="{FF2B5EF4-FFF2-40B4-BE49-F238E27FC236}">
                  <a16:creationId xmlns:a16="http://schemas.microsoft.com/office/drawing/2014/main" id="{6C08F71B-49C6-47DC-954C-27A45522027C}"/>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dr:sp macro="" textlink="">
          <xdr:nvSpPr>
            <xdr:cNvPr id="0" name=""/>
            <xdr:cNvSpPr>
              <a:spLocks noTextEdit="1"/>
            </xdr:cNvSpPr>
          </xdr:nvSpPr>
          <xdr:spPr>
            <a:xfrm>
              <a:off x="13607" y="7260648"/>
              <a:ext cx="2011384" cy="32366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742950</xdr:colOff>
      <xdr:row>33</xdr:row>
      <xdr:rowOff>119062</xdr:rowOff>
    </xdr:from>
    <xdr:to>
      <xdr:col>11</xdr:col>
      <xdr:colOff>9525</xdr:colOff>
      <xdr:row>48</xdr:row>
      <xdr:rowOff>147637</xdr:rowOff>
    </xdr:to>
    <xdr:graphicFrame macro="">
      <xdr:nvGraphicFramePr>
        <xdr:cNvPr id="2" name="Chart 1">
          <a:extLst>
            <a:ext uri="{FF2B5EF4-FFF2-40B4-BE49-F238E27FC236}">
              <a16:creationId xmlns:a16="http://schemas.microsoft.com/office/drawing/2014/main" id="{72491FC2-1A7E-4C9F-BB62-F5A25E70F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195262</xdr:colOff>
      <xdr:row>41</xdr:row>
      <xdr:rowOff>176212</xdr:rowOff>
    </xdr:from>
    <xdr:to>
      <xdr:col>5</xdr:col>
      <xdr:colOff>395287</xdr:colOff>
      <xdr:row>57</xdr:row>
      <xdr:rowOff>23812</xdr:rowOff>
    </xdr:to>
    <xdr:graphicFrame macro="">
      <xdr:nvGraphicFramePr>
        <xdr:cNvPr id="3" name="Chart 2">
          <a:extLst>
            <a:ext uri="{FF2B5EF4-FFF2-40B4-BE49-F238E27FC236}">
              <a16:creationId xmlns:a16="http://schemas.microsoft.com/office/drawing/2014/main" id="{4DCF0B32-7F15-4C84-B9C0-56F0669623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757237</xdr:colOff>
      <xdr:row>36</xdr:row>
      <xdr:rowOff>42862</xdr:rowOff>
    </xdr:from>
    <xdr:to>
      <xdr:col>11</xdr:col>
      <xdr:colOff>1023937</xdr:colOff>
      <xdr:row>51</xdr:row>
      <xdr:rowOff>71437</xdr:rowOff>
    </xdr:to>
    <xdr:graphicFrame macro="">
      <xdr:nvGraphicFramePr>
        <xdr:cNvPr id="4" name="Chart 3">
          <a:extLst>
            <a:ext uri="{FF2B5EF4-FFF2-40B4-BE49-F238E27FC236}">
              <a16:creationId xmlns:a16="http://schemas.microsoft.com/office/drawing/2014/main" id="{25BE86AF-1798-452E-87A7-D8953C7F3A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604837</xdr:colOff>
      <xdr:row>46</xdr:row>
      <xdr:rowOff>61912</xdr:rowOff>
    </xdr:from>
    <xdr:to>
      <xdr:col>10</xdr:col>
      <xdr:colOff>1147762</xdr:colOff>
      <xdr:row>61</xdr:row>
      <xdr:rowOff>90487</xdr:rowOff>
    </xdr:to>
    <xdr:graphicFrame macro="">
      <xdr:nvGraphicFramePr>
        <xdr:cNvPr id="5" name="Chart 4">
          <a:extLst>
            <a:ext uri="{FF2B5EF4-FFF2-40B4-BE49-F238E27FC236}">
              <a16:creationId xmlns:a16="http://schemas.microsoft.com/office/drawing/2014/main" id="{A09245A2-B187-4C22-90A1-37B6490FB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152400</xdr:colOff>
      <xdr:row>36</xdr:row>
      <xdr:rowOff>38100</xdr:rowOff>
    </xdr:from>
    <xdr:to>
      <xdr:col>7</xdr:col>
      <xdr:colOff>295275</xdr:colOff>
      <xdr:row>50</xdr:row>
      <xdr:rowOff>28575</xdr:rowOff>
    </xdr:to>
    <mc:AlternateContent xmlns:mc="http://schemas.openxmlformats.org/markup-compatibility/2006">
      <mc:Choice xmlns:a14="http://schemas.microsoft.com/office/drawing/2010/main" Requires="a14">
        <xdr:graphicFrame macro="">
          <xdr:nvGraphicFramePr>
            <xdr:cNvPr id="6" name="Sales Person">
              <a:extLst>
                <a:ext uri="{FF2B5EF4-FFF2-40B4-BE49-F238E27FC236}">
                  <a16:creationId xmlns:a16="http://schemas.microsoft.com/office/drawing/2014/main" id="{11B7444D-B1F3-45CB-88AE-E83E47ECBFCD}"/>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dr:sp macro="" textlink="">
          <xdr:nvSpPr>
            <xdr:cNvPr id="0" name=""/>
            <xdr:cNvSpPr>
              <a:spLocks noTextEdit="1"/>
            </xdr:cNvSpPr>
          </xdr:nvSpPr>
          <xdr:spPr>
            <a:xfrm>
              <a:off x="5524500" y="6553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990600</xdr:colOff>
      <xdr:row>35</xdr:row>
      <xdr:rowOff>171450</xdr:rowOff>
    </xdr:from>
    <xdr:to>
      <xdr:col>11</xdr:col>
      <xdr:colOff>542925</xdr:colOff>
      <xdr:row>39</xdr:row>
      <xdr:rowOff>161925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AB52AB5-22E5-40C5-B8C6-FE955240F22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077450" y="6505575"/>
              <a:ext cx="1828800" cy="714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476250</xdr:colOff>
      <xdr:row>35</xdr:row>
      <xdr:rowOff>171450</xdr:rowOff>
    </xdr:from>
    <xdr:to>
      <xdr:col>4</xdr:col>
      <xdr:colOff>619125</xdr:colOff>
      <xdr:row>49</xdr:row>
      <xdr:rowOff>161925</xdr:rowOff>
    </xdr:to>
    <mc:AlternateContent xmlns:mc="http://schemas.openxmlformats.org/markup-compatibility/2006">
      <mc:Choice xmlns:a14="http://schemas.microsoft.com/office/drawing/2010/main" Requires="a14">
        <xdr:graphicFrame macro="">
          <xdr:nvGraphicFramePr>
            <xdr:cNvPr id="8" name="Product">
              <a:extLst>
                <a:ext uri="{FF2B5EF4-FFF2-40B4-BE49-F238E27FC236}">
                  <a16:creationId xmlns:a16="http://schemas.microsoft.com/office/drawing/2014/main" id="{D5F52AF6-D277-41FA-BE79-930D932653F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819400" y="65055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390525</xdr:colOff>
      <xdr:row>13</xdr:row>
      <xdr:rowOff>157162</xdr:rowOff>
    </xdr:from>
    <xdr:to>
      <xdr:col>7</xdr:col>
      <xdr:colOff>247650</xdr:colOff>
      <xdr:row>29</xdr:row>
      <xdr:rowOff>4762</xdr:rowOff>
    </xdr:to>
    <xdr:graphicFrame macro="">
      <xdr:nvGraphicFramePr>
        <xdr:cNvPr id="9" name="Chart 8">
          <a:extLst>
            <a:ext uri="{FF2B5EF4-FFF2-40B4-BE49-F238E27FC236}">
              <a16:creationId xmlns:a16="http://schemas.microsoft.com/office/drawing/2014/main" id="{EC068EA4-7BB5-4F1F-B6E4-06DB05B7F7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161925</xdr:colOff>
      <xdr:row>25</xdr:row>
      <xdr:rowOff>104776</xdr:rowOff>
    </xdr:from>
    <xdr:to>
      <xdr:col>8</xdr:col>
      <xdr:colOff>647700</xdr:colOff>
      <xdr:row>32</xdr:row>
      <xdr:rowOff>95251</xdr:rowOff>
    </xdr:to>
    <mc:AlternateContent xmlns:mc="http://schemas.openxmlformats.org/markup-compatibility/2006">
      <mc:Choice xmlns:a14="http://schemas.microsoft.com/office/drawing/2010/main" Requires="a14">
        <xdr:graphicFrame macro="">
          <xdr:nvGraphicFramePr>
            <xdr:cNvPr id="11" name="Years">
              <a:extLst>
                <a:ext uri="{FF2B5EF4-FFF2-40B4-BE49-F238E27FC236}">
                  <a16:creationId xmlns:a16="http://schemas.microsoft.com/office/drawing/2014/main" id="{8C36A400-BA0F-4E4B-985B-EB791BB34B4F}"/>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7219950" y="4629151"/>
              <a:ext cx="182880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2.743614467596" createdVersion="6" refreshedVersion="6" minRefreshableVersion="3" recordCount="50" xr:uid="{3368BEA2-A7BF-4B45-989D-707FC0B79AE8}">
  <cacheSource type="worksheet">
    <worksheetSource name="Table1"/>
  </cacheSource>
  <cacheFields count="11">
    <cacheField name="Date" numFmtId="14">
      <sharedItems containsSemiMixedTypes="0" containsNonDate="0" containsDate="1" containsString="0" minDate="2020-05-07T00:00:00" maxDate="2021-12-22T00:00:00" count="47">
        <d v="2021-02-19T00:00:00"/>
        <d v="2021-09-07T00:00:00"/>
        <d v="2021-02-03T00:00:00"/>
        <d v="2020-09-11T00:00:00"/>
        <d v="2021-09-23T00:00:00"/>
        <d v="2020-10-01T00:00:00"/>
        <d v="2021-08-05T00:00:00"/>
        <d v="2020-11-06T00:00:00"/>
        <d v="2021-01-27T00:00:00"/>
        <d v="2021-09-03T00:00:00"/>
        <d v="2021-09-30T00:00:00"/>
        <d v="2020-09-10T00:00:00"/>
        <d v="2021-07-27T00:00:00"/>
        <d v="2020-10-09T00:00:00"/>
        <d v="2021-04-06T00:00:00"/>
        <d v="2021-06-15T00:00:00"/>
        <d v="2020-09-09T00:00:00"/>
        <d v="2021-08-13T00:00:00"/>
        <d v="2020-08-27T00:00:00"/>
        <d v="2021-04-07T00:00:00"/>
        <d v="2020-06-08T00:00:00"/>
        <d v="2021-12-21T00:00:00"/>
        <d v="2021-08-10T00:00:00"/>
        <d v="2021-12-02T00:00:00"/>
        <d v="2021-08-30T00:00:00"/>
        <d v="2020-05-20T00:00:00"/>
        <d v="2021-09-13T00:00:00"/>
        <d v="2021-10-27T00:00:00"/>
        <d v="2020-12-22T00:00:00"/>
        <d v="2021-07-28T00:00:00"/>
        <d v="2020-09-29T00:00:00"/>
        <d v="2020-10-22T00:00:00"/>
        <d v="2020-05-19T00:00:00"/>
        <d v="2021-12-06T00:00:00"/>
        <d v="2020-08-26T00:00:00"/>
        <d v="2021-07-01T00:00:00"/>
        <d v="2020-10-05T00:00:00"/>
        <d v="2020-09-02T00:00:00"/>
        <d v="2021-09-02T00:00:00"/>
        <d v="2021-04-13T00:00:00"/>
        <d v="2021-05-06T00:00:00"/>
        <d v="2021-01-15T00:00:00"/>
        <d v="2021-02-05T00:00:00"/>
        <d v="2021-11-17T00:00:00"/>
        <d v="2020-12-28T00:00:00"/>
        <d v="2021-11-02T00:00:00"/>
        <d v="2020-05-07T00:00:00"/>
      </sharedItems>
      <fieldGroup par="10" base="0">
        <rangePr groupBy="months" startDate="2020-05-07T00:00:00" endDate="2021-12-22T00:00:00"/>
        <groupItems count="14">
          <s v="&lt;07-05-2020"/>
          <s v="Jan"/>
          <s v="Feb"/>
          <s v="Mar"/>
          <s v="Apr"/>
          <s v="May"/>
          <s v="Jun"/>
          <s v="Jul"/>
          <s v="Aug"/>
          <s v="Sep"/>
          <s v="Oct"/>
          <s v="Nov"/>
          <s v="Dec"/>
          <s v="&gt;22-12-2021"/>
        </groupItems>
      </fieldGroup>
    </cacheField>
    <cacheField name="Sales Person" numFmtId="0">
      <sharedItems count="10">
        <s v="Andrew"/>
        <s v="Grace"/>
        <s v="Ella"/>
        <s v="Cameron"/>
        <s v="Megan"/>
        <s v="Carolyn"/>
        <s v="Virginia"/>
        <s v="Connor"/>
        <s v="Anna"/>
        <s v="Nicholas"/>
      </sharedItems>
    </cacheField>
    <cacheField name="Region" numFmtId="0">
      <sharedItems count="4">
        <s v="West"/>
        <s v="East"/>
        <s v="South"/>
        <s v="North"/>
      </sharedItems>
    </cacheField>
    <cacheField name="Product" numFmtId="0">
      <sharedItems count="7">
        <s v="Tent"/>
        <s v="Blender"/>
        <s v="Action Figure"/>
        <s v="Novel"/>
        <s v="Sneakers"/>
        <s v="Moisturizer"/>
        <s v="Smartphone"/>
      </sharedItems>
    </cacheField>
    <cacheField name="Units Sold" numFmtId="0">
      <sharedItems containsSemiMixedTypes="0" containsString="0" containsNumber="1" containsInteger="1" minValue="51" maxValue="149"/>
    </cacheField>
    <cacheField name="Unit Price" numFmtId="164">
      <sharedItems containsSemiMixedTypes="0" containsString="0" containsNumber="1" containsInteger="1" minValue="600" maxValue="10000"/>
    </cacheField>
    <cacheField name="Cost of Goods" numFmtId="164">
      <sharedItems containsSemiMixedTypes="0" containsString="0" containsNumber="1" containsInteger="1" minValue="400" maxValue="7000"/>
    </cacheField>
    <cacheField name="Total Sales" numFmtId="164">
      <sharedItems containsSemiMixedTypes="0" containsString="0" containsNumber="1" containsInteger="1" minValue="34200" maxValue="1270000"/>
    </cacheField>
    <cacheField name="Profit" numFmtId="164">
      <sharedItems containsSemiMixedTypes="0" containsString="0" containsNumber="1" containsInteger="1" minValue="11400" maxValue="381000"/>
    </cacheField>
    <cacheField name="Grand Total" numFmtId="0">
      <sharedItems containsBlank="1" containsMixedTypes="1" containsNumber="1" containsInteger="1" minValue="4705" maxValue="12944500"/>
    </cacheField>
    <cacheField name="Years" numFmtId="0" databaseField="0">
      <fieldGroup base="0">
        <rangePr groupBy="years" startDate="2020-05-07T00:00:00" endDate="2021-12-22T00:00:00"/>
        <groupItems count="4">
          <s v="&lt;07-05-2020"/>
          <s v="2020"/>
          <s v="2021"/>
          <s v="&gt;22-12-2021"/>
        </groupItems>
      </fieldGroup>
    </cacheField>
  </cacheFields>
  <extLst>
    <ext xmlns:x14="http://schemas.microsoft.com/office/spreadsheetml/2009/9/main" uri="{725AE2AE-9491-48be-B2B4-4EB974FC3084}">
      <x14:pivotCacheDefinition pivotCacheId="20320141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x v="0"/>
    <x v="0"/>
    <n v="84"/>
    <n v="6000"/>
    <n v="4000"/>
    <n v="504000"/>
    <n v="168000"/>
    <n v="12944500"/>
  </r>
  <r>
    <x v="1"/>
    <x v="1"/>
    <x v="1"/>
    <x v="1"/>
    <n v="128"/>
    <n v="3500"/>
    <n v="2500"/>
    <n v="448000"/>
    <n v="128000"/>
    <s v="Unit Sold"/>
  </r>
  <r>
    <x v="2"/>
    <x v="2"/>
    <x v="2"/>
    <x v="2"/>
    <n v="136"/>
    <n v="1200"/>
    <n v="800"/>
    <n v="163200"/>
    <n v="54400"/>
    <n v="4705"/>
  </r>
  <r>
    <x v="3"/>
    <x v="3"/>
    <x v="3"/>
    <x v="3"/>
    <n v="91"/>
    <n v="1000"/>
    <n v="700"/>
    <n v="91000"/>
    <n v="27300"/>
    <s v="Total Profit"/>
  </r>
  <r>
    <x v="4"/>
    <x v="4"/>
    <x v="0"/>
    <x v="4"/>
    <n v="110"/>
    <n v="4000"/>
    <n v="3000"/>
    <n v="440000"/>
    <n v="110000"/>
    <n v="3834400"/>
  </r>
  <r>
    <x v="5"/>
    <x v="5"/>
    <x v="1"/>
    <x v="2"/>
    <n v="51"/>
    <n v="1200"/>
    <n v="800"/>
    <n v="61200"/>
    <n v="20400"/>
    <s v="Average Sales"/>
  </r>
  <r>
    <x v="6"/>
    <x v="6"/>
    <x v="3"/>
    <x v="3"/>
    <n v="78"/>
    <n v="1000"/>
    <n v="700"/>
    <n v="78000"/>
    <n v="23400"/>
    <n v="258890"/>
  </r>
  <r>
    <x v="7"/>
    <x v="7"/>
    <x v="2"/>
    <x v="0"/>
    <n v="146"/>
    <n v="6000"/>
    <n v="4000"/>
    <n v="876000"/>
    <n v="292000"/>
    <m/>
  </r>
  <r>
    <x v="8"/>
    <x v="8"/>
    <x v="0"/>
    <x v="5"/>
    <n v="101"/>
    <n v="600"/>
    <n v="400"/>
    <n v="60600"/>
    <n v="20200"/>
    <m/>
  </r>
  <r>
    <x v="9"/>
    <x v="9"/>
    <x v="2"/>
    <x v="0"/>
    <n v="52"/>
    <n v="6000"/>
    <n v="4000"/>
    <n v="312000"/>
    <n v="104000"/>
    <m/>
  </r>
  <r>
    <x v="10"/>
    <x v="9"/>
    <x v="1"/>
    <x v="2"/>
    <n v="55"/>
    <n v="1200"/>
    <n v="800"/>
    <n v="66000"/>
    <n v="22000"/>
    <m/>
  </r>
  <r>
    <x v="11"/>
    <x v="9"/>
    <x v="2"/>
    <x v="3"/>
    <n v="137"/>
    <n v="1000"/>
    <n v="700"/>
    <n v="137000"/>
    <n v="41100"/>
    <m/>
  </r>
  <r>
    <x v="12"/>
    <x v="7"/>
    <x v="2"/>
    <x v="1"/>
    <n v="96"/>
    <n v="3500"/>
    <n v="2500"/>
    <n v="336000"/>
    <n v="96000"/>
    <m/>
  </r>
  <r>
    <x v="13"/>
    <x v="8"/>
    <x v="1"/>
    <x v="4"/>
    <n v="52"/>
    <n v="4000"/>
    <n v="3000"/>
    <n v="208000"/>
    <n v="52000"/>
    <m/>
  </r>
  <r>
    <x v="14"/>
    <x v="3"/>
    <x v="0"/>
    <x v="1"/>
    <n v="76"/>
    <n v="3500"/>
    <n v="2500"/>
    <n v="266000"/>
    <n v="76000"/>
    <m/>
  </r>
  <r>
    <x v="15"/>
    <x v="1"/>
    <x v="3"/>
    <x v="4"/>
    <n v="145"/>
    <n v="4000"/>
    <n v="3000"/>
    <n v="580000"/>
    <n v="145000"/>
    <m/>
  </r>
  <r>
    <x v="16"/>
    <x v="0"/>
    <x v="2"/>
    <x v="5"/>
    <n v="83"/>
    <n v="600"/>
    <n v="400"/>
    <n v="49800"/>
    <n v="16600"/>
    <m/>
  </r>
  <r>
    <x v="17"/>
    <x v="4"/>
    <x v="2"/>
    <x v="3"/>
    <n v="91"/>
    <n v="1000"/>
    <n v="700"/>
    <n v="91000"/>
    <n v="27300"/>
    <m/>
  </r>
  <r>
    <x v="18"/>
    <x v="5"/>
    <x v="0"/>
    <x v="6"/>
    <n v="108"/>
    <n v="10000"/>
    <n v="7000"/>
    <n v="1080000"/>
    <n v="324000"/>
    <m/>
  </r>
  <r>
    <x v="19"/>
    <x v="2"/>
    <x v="3"/>
    <x v="4"/>
    <n v="144"/>
    <n v="4000"/>
    <n v="3000"/>
    <n v="576000"/>
    <n v="144000"/>
    <m/>
  </r>
  <r>
    <x v="20"/>
    <x v="4"/>
    <x v="2"/>
    <x v="5"/>
    <n v="92"/>
    <n v="600"/>
    <n v="400"/>
    <n v="55200"/>
    <n v="18400"/>
    <m/>
  </r>
  <r>
    <x v="21"/>
    <x v="7"/>
    <x v="0"/>
    <x v="0"/>
    <n v="71"/>
    <n v="6000"/>
    <n v="4000"/>
    <n v="426000"/>
    <n v="142000"/>
    <m/>
  </r>
  <r>
    <x v="22"/>
    <x v="0"/>
    <x v="1"/>
    <x v="5"/>
    <n v="103"/>
    <n v="600"/>
    <n v="400"/>
    <n v="61800"/>
    <n v="20600"/>
    <m/>
  </r>
  <r>
    <x v="23"/>
    <x v="9"/>
    <x v="3"/>
    <x v="3"/>
    <n v="55"/>
    <n v="1000"/>
    <n v="700"/>
    <n v="55000"/>
    <n v="16500"/>
    <m/>
  </r>
  <r>
    <x v="24"/>
    <x v="5"/>
    <x v="1"/>
    <x v="4"/>
    <n v="93"/>
    <n v="4000"/>
    <n v="3000"/>
    <n v="372000"/>
    <n v="93000"/>
    <m/>
  </r>
  <r>
    <x v="25"/>
    <x v="2"/>
    <x v="2"/>
    <x v="5"/>
    <n v="143"/>
    <n v="600"/>
    <n v="400"/>
    <n v="85800"/>
    <n v="28600"/>
    <m/>
  </r>
  <r>
    <x v="26"/>
    <x v="6"/>
    <x v="0"/>
    <x v="1"/>
    <n v="143"/>
    <n v="3500"/>
    <n v="2500"/>
    <n v="500500"/>
    <n v="143000"/>
    <m/>
  </r>
  <r>
    <x v="27"/>
    <x v="8"/>
    <x v="3"/>
    <x v="5"/>
    <n v="99"/>
    <n v="600"/>
    <n v="400"/>
    <n v="59400"/>
    <n v="19800"/>
    <m/>
  </r>
  <r>
    <x v="28"/>
    <x v="3"/>
    <x v="0"/>
    <x v="3"/>
    <n v="120"/>
    <n v="1000"/>
    <n v="700"/>
    <n v="120000"/>
    <n v="36000"/>
    <m/>
  </r>
  <r>
    <x v="29"/>
    <x v="1"/>
    <x v="2"/>
    <x v="1"/>
    <n v="66"/>
    <n v="3500"/>
    <n v="2500"/>
    <n v="231000"/>
    <n v="66000"/>
    <m/>
  </r>
  <r>
    <x v="30"/>
    <x v="8"/>
    <x v="3"/>
    <x v="2"/>
    <n v="88"/>
    <n v="1200"/>
    <n v="800"/>
    <n v="105600"/>
    <n v="35200"/>
    <m/>
  </r>
  <r>
    <x v="31"/>
    <x v="3"/>
    <x v="1"/>
    <x v="6"/>
    <n v="127"/>
    <n v="10000"/>
    <n v="7000"/>
    <n v="1270000"/>
    <n v="381000"/>
    <m/>
  </r>
  <r>
    <x v="32"/>
    <x v="4"/>
    <x v="0"/>
    <x v="4"/>
    <n v="67"/>
    <n v="4000"/>
    <n v="3000"/>
    <n v="268000"/>
    <n v="67000"/>
    <m/>
  </r>
  <r>
    <x v="33"/>
    <x v="1"/>
    <x v="1"/>
    <x v="2"/>
    <n v="67"/>
    <n v="1200"/>
    <n v="800"/>
    <n v="80400"/>
    <n v="26800"/>
    <m/>
  </r>
  <r>
    <x v="34"/>
    <x v="9"/>
    <x v="2"/>
    <x v="3"/>
    <n v="149"/>
    <n v="1000"/>
    <n v="700"/>
    <n v="149000"/>
    <n v="44700"/>
    <m/>
  </r>
  <r>
    <x v="35"/>
    <x v="4"/>
    <x v="3"/>
    <x v="5"/>
    <n v="104"/>
    <n v="600"/>
    <n v="400"/>
    <n v="62400"/>
    <n v="20800"/>
    <m/>
  </r>
  <r>
    <x v="12"/>
    <x v="7"/>
    <x v="0"/>
    <x v="5"/>
    <n v="57"/>
    <n v="600"/>
    <n v="400"/>
    <n v="34200"/>
    <n v="11400"/>
    <m/>
  </r>
  <r>
    <x v="36"/>
    <x v="2"/>
    <x v="1"/>
    <x v="5"/>
    <n v="90"/>
    <n v="600"/>
    <n v="400"/>
    <n v="54000"/>
    <n v="18000"/>
    <m/>
  </r>
  <r>
    <x v="37"/>
    <x v="5"/>
    <x v="2"/>
    <x v="5"/>
    <n v="67"/>
    <n v="600"/>
    <n v="400"/>
    <n v="40200"/>
    <n v="13400"/>
    <m/>
  </r>
  <r>
    <x v="38"/>
    <x v="0"/>
    <x v="3"/>
    <x v="4"/>
    <n v="127"/>
    <n v="4000"/>
    <n v="3000"/>
    <n v="508000"/>
    <n v="127000"/>
    <m/>
  </r>
  <r>
    <x v="39"/>
    <x v="5"/>
    <x v="0"/>
    <x v="3"/>
    <n v="108"/>
    <n v="1000"/>
    <n v="700"/>
    <n v="108000"/>
    <n v="32400"/>
    <m/>
  </r>
  <r>
    <x v="40"/>
    <x v="2"/>
    <x v="1"/>
    <x v="1"/>
    <n v="66"/>
    <n v="3500"/>
    <n v="2500"/>
    <n v="231000"/>
    <n v="66000"/>
    <m/>
  </r>
  <r>
    <x v="41"/>
    <x v="0"/>
    <x v="3"/>
    <x v="0"/>
    <n v="78"/>
    <n v="6000"/>
    <n v="4000"/>
    <n v="468000"/>
    <n v="156000"/>
    <m/>
  </r>
  <r>
    <x v="18"/>
    <x v="7"/>
    <x v="2"/>
    <x v="3"/>
    <n v="69"/>
    <n v="1000"/>
    <n v="700"/>
    <n v="69000"/>
    <n v="20700"/>
    <m/>
  </r>
  <r>
    <x v="42"/>
    <x v="4"/>
    <x v="0"/>
    <x v="2"/>
    <n v="59"/>
    <n v="1200"/>
    <n v="800"/>
    <n v="70800"/>
    <n v="23600"/>
    <m/>
  </r>
  <r>
    <x v="43"/>
    <x v="9"/>
    <x v="2"/>
    <x v="5"/>
    <n v="109"/>
    <n v="600"/>
    <n v="400"/>
    <n v="65400"/>
    <n v="21800"/>
    <m/>
  </r>
  <r>
    <x v="44"/>
    <x v="8"/>
    <x v="1"/>
    <x v="4"/>
    <n v="61"/>
    <n v="4000"/>
    <n v="3000"/>
    <n v="244000"/>
    <n v="61000"/>
    <m/>
  </r>
  <r>
    <x v="27"/>
    <x v="4"/>
    <x v="3"/>
    <x v="5"/>
    <n v="130"/>
    <n v="600"/>
    <n v="400"/>
    <n v="78000"/>
    <n v="26000"/>
    <m/>
  </r>
  <r>
    <x v="45"/>
    <x v="3"/>
    <x v="2"/>
    <x v="1"/>
    <n v="60"/>
    <n v="3500"/>
    <n v="2500"/>
    <n v="210000"/>
    <n v="60000"/>
    <m/>
  </r>
  <r>
    <x v="46"/>
    <x v="1"/>
    <x v="1"/>
    <x v="0"/>
    <n v="73"/>
    <n v="6000"/>
    <n v="4000"/>
    <n v="438000"/>
    <n v="14600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1CECC-F7D9-462F-9BE4-4233812CBCA3}"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11:B23" firstHeaderRow="1" firstDataRow="1" firstDataCol="1"/>
  <pivotFields count="11">
    <pivotField axis="axisRow" numFmtId="14" showAll="0">
      <items count="15">
        <item x="0"/>
        <item x="1"/>
        <item x="2"/>
        <item x="3"/>
        <item x="4"/>
        <item x="5"/>
        <item x="6"/>
        <item x="7"/>
        <item x="8"/>
        <item x="9"/>
        <item x="10"/>
        <item x="11"/>
        <item x="12"/>
        <item x="13"/>
        <item t="default"/>
      </items>
    </pivotField>
    <pivotField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pivotField showAll="0">
      <items count="5">
        <item x="0"/>
        <item x="1"/>
        <item x="2"/>
        <item x="3"/>
        <item t="default"/>
      </items>
    </pivotField>
  </pivotFields>
  <rowFields count="1">
    <field x="0"/>
  </rowFields>
  <rowItems count="12">
    <i>
      <x v="1"/>
    </i>
    <i>
      <x v="2"/>
    </i>
    <i>
      <x v="4"/>
    </i>
    <i>
      <x v="5"/>
    </i>
    <i>
      <x v="6"/>
    </i>
    <i>
      <x v="7"/>
    </i>
    <i>
      <x v="8"/>
    </i>
    <i>
      <x v="9"/>
    </i>
    <i>
      <x v="10"/>
    </i>
    <i>
      <x v="11"/>
    </i>
    <i>
      <x v="12"/>
    </i>
    <i t="grand">
      <x/>
    </i>
  </rowItems>
  <colItems count="1">
    <i/>
  </colItems>
  <dataFields count="1">
    <dataField name="Sum of Total Sales" fld="7"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7839892-0D57-4264-A12B-6492847D8DA5}"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8" firstHeaderRow="1" firstDataRow="1" firstDataCol="1"/>
  <pivotFields count="11">
    <pivotField numFmtId="14" showAll="0">
      <items count="15">
        <item x="0"/>
        <item x="1"/>
        <item x="2"/>
        <item x="3"/>
        <item x="4"/>
        <item x="5"/>
        <item x="6"/>
        <item x="7"/>
        <item x="8"/>
        <item x="9"/>
        <item x="10"/>
        <item x="11"/>
        <item x="12"/>
        <item x="13"/>
        <item t="default"/>
      </items>
    </pivotField>
    <pivotField showAll="0">
      <items count="11">
        <item x="0"/>
        <item x="8"/>
        <item x="3"/>
        <item x="5"/>
        <item x="7"/>
        <item x="2"/>
        <item x="1"/>
        <item x="4"/>
        <item x="9"/>
        <item x="6"/>
        <item t="default"/>
      </items>
    </pivotField>
    <pivotField axis="axisRow"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Total Sales" fld="7"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2"/>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AFCD3C-726A-4DE4-8BC0-397BB075DA8A}"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3:K11" firstHeaderRow="1" firstDataRow="1" firstDataCol="1"/>
  <pivotFields count="11">
    <pivotField numFmtId="14" showAll="0">
      <items count="15">
        <item x="0"/>
        <item x="1"/>
        <item x="2"/>
        <item x="3"/>
        <item x="4"/>
        <item x="5"/>
        <item x="6"/>
        <item x="7"/>
        <item x="8"/>
        <item x="9"/>
        <item x="10"/>
        <item x="11"/>
        <item x="12"/>
        <item x="13"/>
        <item t="default"/>
      </items>
    </pivotField>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dataField="1" showAll="0"/>
    <pivotField numFmtId="164" showAll="0"/>
    <pivotField numFmtId="164" showAll="0"/>
    <pivotField numFmtId="164" showAll="0"/>
    <pivotField numFmtId="164" showAll="0"/>
    <pivotField showAll="0"/>
    <pivotField showAll="0">
      <items count="5">
        <item x="0"/>
        <item x="1"/>
        <item x="2"/>
        <item x="3"/>
        <item t="default"/>
      </items>
    </pivotField>
  </pivotFields>
  <rowFields count="1">
    <field x="3"/>
  </rowFields>
  <rowItems count="8">
    <i>
      <x/>
    </i>
    <i>
      <x v="1"/>
    </i>
    <i>
      <x v="2"/>
    </i>
    <i>
      <x v="3"/>
    </i>
    <i>
      <x v="4"/>
    </i>
    <i>
      <x v="5"/>
    </i>
    <i>
      <x v="6"/>
    </i>
    <i t="grand">
      <x/>
    </i>
  </rowItems>
  <colItems count="1">
    <i/>
  </colItems>
  <dataFields count="1">
    <dataField name="Sum of Units Sold" fld="4"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04A2A6-EBFA-4BE8-88E0-8252D0E01ECD}"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14" firstHeaderRow="1" firstDataRow="1" firstDataCol="1"/>
  <pivotFields count="11">
    <pivotField numFmtId="14" showAll="0">
      <items count="15">
        <item x="0"/>
        <item x="1"/>
        <item x="2"/>
        <item x="3"/>
        <item x="4"/>
        <item x="5"/>
        <item x="6"/>
        <item x="7"/>
        <item x="8"/>
        <item x="9"/>
        <item x="10"/>
        <item x="11"/>
        <item x="12"/>
        <item x="13"/>
        <item t="default"/>
      </items>
    </pivotField>
    <pivotField axis="axisRow" showAll="0">
      <items count="11">
        <item x="0"/>
        <item x="8"/>
        <item x="3"/>
        <item x="5"/>
        <item x="7"/>
        <item x="2"/>
        <item x="1"/>
        <item x="4"/>
        <item x="9"/>
        <item x="6"/>
        <item t="default"/>
      </items>
    </pivotField>
    <pivotField showAll="0">
      <items count="5">
        <item x="1"/>
        <item x="3"/>
        <item x="2"/>
        <item x="0"/>
        <item t="default"/>
      </items>
    </pivotField>
    <pivotField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pivotField showAll="0">
      <items count="5">
        <item x="0"/>
        <item x="1"/>
        <item x="2"/>
        <item x="3"/>
        <item t="default"/>
      </items>
    </pivotField>
  </pivotFields>
  <rowFields count="1">
    <field x="1"/>
  </rowFields>
  <rowItems count="11">
    <i>
      <x/>
    </i>
    <i>
      <x v="1"/>
    </i>
    <i>
      <x v="2"/>
    </i>
    <i>
      <x v="3"/>
    </i>
    <i>
      <x v="4"/>
    </i>
    <i>
      <x v="5"/>
    </i>
    <i>
      <x v="6"/>
    </i>
    <i>
      <x v="7"/>
    </i>
    <i>
      <x v="8"/>
    </i>
    <i>
      <x v="9"/>
    </i>
    <i t="grand">
      <x/>
    </i>
  </rowItems>
  <colItems count="1">
    <i/>
  </colItems>
  <dataFields count="1">
    <dataField name="Sum of Total Sales" fld="7"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C01824-EEB0-4CDA-AD42-92B5FC45B86D}"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D3:E11" firstHeaderRow="1" firstDataRow="1" firstDataCol="1"/>
  <pivotFields count="11">
    <pivotField numFmtId="14" showAll="0">
      <items count="15">
        <item x="0"/>
        <item x="1"/>
        <item x="2"/>
        <item x="3"/>
        <item x="4"/>
        <item x="5"/>
        <item x="6"/>
        <item x="7"/>
        <item x="8"/>
        <item x="9"/>
        <item x="10"/>
        <item x="11"/>
        <item x="12"/>
        <item x="13"/>
        <item t="default"/>
      </items>
    </pivotField>
    <pivotField showAll="0">
      <items count="11">
        <item x="0"/>
        <item x="8"/>
        <item x="3"/>
        <item x="5"/>
        <item x="7"/>
        <item x="2"/>
        <item x="1"/>
        <item x="4"/>
        <item x="9"/>
        <item x="6"/>
        <item t="default"/>
      </items>
    </pivotField>
    <pivotField showAll="0">
      <items count="5">
        <item x="1"/>
        <item x="3"/>
        <item x="2"/>
        <item x="0"/>
        <item t="default"/>
      </items>
    </pivotField>
    <pivotField axis="axisRow" showAll="0">
      <items count="8">
        <item x="2"/>
        <item x="1"/>
        <item x="5"/>
        <item x="3"/>
        <item x="6"/>
        <item x="4"/>
        <item x="0"/>
        <item t="default"/>
      </items>
    </pivotField>
    <pivotField showAll="0"/>
    <pivotField numFmtId="164" showAll="0"/>
    <pivotField numFmtId="164" showAll="0"/>
    <pivotField dataField="1" numFmtId="164" showAll="0"/>
    <pivotField numFmtId="164" showAll="0"/>
    <pivotField showAll="0"/>
    <pivotField showAll="0">
      <items count="5">
        <item x="0"/>
        <item x="1"/>
        <item x="2"/>
        <item x="3"/>
        <item t="default"/>
      </items>
    </pivotField>
  </pivotFields>
  <rowFields count="1">
    <field x="3"/>
  </rowFields>
  <rowItems count="8">
    <i>
      <x/>
    </i>
    <i>
      <x v="1"/>
    </i>
    <i>
      <x v="2"/>
    </i>
    <i>
      <x v="3"/>
    </i>
    <i>
      <x v="4"/>
    </i>
    <i>
      <x v="5"/>
    </i>
    <i>
      <x v="6"/>
    </i>
    <i t="grand">
      <x/>
    </i>
  </rowItems>
  <colItems count="1">
    <i/>
  </colItems>
  <dataFields count="1">
    <dataField name="Sum of Total Sales" fld="7" baseField="0" baseItem="0"/>
  </dataField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3" count="1" selected="0">
            <x v="5"/>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CBD2E960-A91D-447E-BD72-66961BD7C767}" sourceName="Sales Person">
  <pivotTables>
    <pivotTable tabId="4" name="PivotTable1"/>
    <pivotTable tabId="4" name="PivotTable2"/>
    <pivotTable tabId="4" name="PivotTable3"/>
    <pivotTable tabId="4" name="PivotTable4"/>
    <pivotTable tabId="4" name="PivotTable6"/>
  </pivotTables>
  <data>
    <tabular pivotCacheId="2032014142">
      <items count="10">
        <i x="0" s="1"/>
        <i x="8" s="1"/>
        <i x="3" s="1"/>
        <i x="5" s="1"/>
        <i x="7" s="1"/>
        <i x="2" s="1"/>
        <i x="1" s="1"/>
        <i x="4" s="1"/>
        <i x="9"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F1343D3-C501-4C20-A8D1-40B4D61AD990}" sourceName="Region">
  <pivotTables>
    <pivotTable tabId="4" name="PivotTable1"/>
    <pivotTable tabId="4" name="PivotTable2"/>
    <pivotTable tabId="4" name="PivotTable3"/>
    <pivotTable tabId="4" name="PivotTable4"/>
    <pivotTable tabId="4" name="PivotTable6"/>
  </pivotTables>
  <data>
    <tabular pivotCacheId="2032014142">
      <items count="4">
        <i x="1" s="1"/>
        <i x="3" s="1"/>
        <i x="2" s="1"/>
        <i x="0"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3308DE4E-AF57-42CF-A822-CD15833A52F5}" sourceName="Product">
  <pivotTables>
    <pivotTable tabId="4" name="PivotTable1"/>
    <pivotTable tabId="4" name="PivotTable2"/>
    <pivotTable tabId="4" name="PivotTable3"/>
    <pivotTable tabId="4" name="PivotTable4"/>
    <pivotTable tabId="4" name="PivotTable6"/>
  </pivotTables>
  <data>
    <tabular pivotCacheId="2032014142">
      <items count="7">
        <i x="2" s="1"/>
        <i x="1" s="1"/>
        <i x="5" s="1"/>
        <i x="3" s="1"/>
        <i x="6"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CF32641F-0FF2-4C1D-8FA4-D09DA9E8E30C}" sourceName="Years">
  <pivotTables>
    <pivotTable tabId="4" name="PivotTable6"/>
    <pivotTable tabId="4" name="PivotTable1"/>
    <pivotTable tabId="4" name="PivotTable2"/>
    <pivotTable tabId="4" name="PivotTable3"/>
    <pivotTable tabId="4" name="PivotTable4"/>
  </pivotTables>
  <data>
    <tabular pivotCacheId="2032014142">
      <items count="4">
        <i x="1" s="1"/>
        <i x="2" s="1"/>
        <i x="0"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7685A8BA-FC52-4214-A0DD-60F157C4F1CF}" cache="Slicer_Sales_Person" caption="Sales Person" rowHeight="241300"/>
  <slicer name="Region 2" xr10:uid="{CD66181C-0099-46C6-8DC6-8CC1AE5341E5}" cache="Slicer_Region" caption="Region" columnCount="2" showCaption="0" rowHeight="241300"/>
  <slicer name="Product 1" xr10:uid="{CE5CCD73-2AA6-4274-B5AF-42550EDF26D4}" cache="Slicer_Product" caption="Product" rowHeight="241300"/>
  <slicer name="Years 1" xr10:uid="{96000329-F465-4290-84B7-D4E3BB94CAC8}" cache="Slicer_Years" caption="Year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A27DE6D2-B554-497D-AE26-1725E87570AB}" cache="Slicer_Sales_Person" caption="Sales Person" startItem="2" rowHeight="241300"/>
  <slicer name="Region" xr10:uid="{94553005-ACA3-43FA-9196-B35C987DB25E}" cache="Slicer_Region" caption="Region" columnCount="2" showCaption="0" rowHeight="241300"/>
  <slicer name="Product" xr10:uid="{44BFE2CE-1D76-46EF-A61E-6AF710C50498}" cache="Slicer_Product" caption="Product" rowHeight="241300"/>
  <slicer name="Years" xr10:uid="{EF3E0C6C-3A91-4284-BE79-BE7D5AC87001}" cache="Slicer_Years" caption="Year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E895B3-AF0F-4340-9F02-E38230208411}" name="Table1" displayName="Table1" ref="A1:J51" totalsRowShown="0" headerRowDxfId="7" dataDxfId="6" dataCellStyle="Currency [0]">
  <autoFilter ref="A1:J51" xr:uid="{B7274DE0-C011-48CC-85AD-58879C369144}"/>
  <tableColumns count="10">
    <tableColumn id="1" xr3:uid="{2A1D5BFC-4A5F-41CB-97C8-C560BDF89357}" name="Date" dataDxfId="5"/>
    <tableColumn id="2" xr3:uid="{E608282F-A374-48E4-8A16-2B40501A2F19}" name="Sales Person"/>
    <tableColumn id="3" xr3:uid="{F34434BD-ED71-4AE4-9011-333EA238FD37}" name="Region"/>
    <tableColumn id="4" xr3:uid="{167670EC-4605-4633-BE36-E068F0E2FEC9}" name="Product"/>
    <tableColumn id="5" xr3:uid="{C90162EA-7498-45B5-9442-9023E98B01A5}" name="Units Sold" dataDxfId="4"/>
    <tableColumn id="6" xr3:uid="{ACB587FA-E06A-4BD3-B1F8-FB75CE6C289C}" name="Unit Price" dataDxfId="3" dataCellStyle="Currency [0]">
      <calculatedColumnFormula>IF(D2="Tent",6000,IF(D2="Blender",3500,IF(D2="Action Figure",1200,IF(D2="Novel",1000,IF(D2="Sneakers",4000,IF(D2="Smartphone",10000,IF(D2="moisturizer",600,"No Product Found")))))))</calculatedColumnFormula>
    </tableColumn>
    <tableColumn id="7" xr3:uid="{B815F382-7F42-49AF-BC9A-B7D91FEBA4AE}" name="Cost of Goods" dataDxfId="2" dataCellStyle="Currency [0]">
      <calculatedColumnFormula>IF(D2="Tent",4000,IF(D2="Blender",2500,IF(D2="Action Figure",800,IF(D2="Novel",700,IF(D2="Sneakers",3000,IF(D2="Smartphone",7000,IF(D2="moisturizer",400,"No Product Found")))))))</calculatedColumnFormula>
    </tableColumn>
    <tableColumn id="8" xr3:uid="{91781468-84A2-478B-8605-C29F57673948}" name="Total Sales" dataDxfId="1" dataCellStyle="Currency [0]">
      <calculatedColumnFormula>F2*E2</calculatedColumnFormula>
    </tableColumn>
    <tableColumn id="9" xr3:uid="{018179CF-1A87-4A07-9364-F7BEBFE87764}" name="Profit" dataDxfId="0">
      <calculatedColumnFormula>H2-(G2*E2)</calculatedColumnFormula>
    </tableColumn>
    <tableColumn id="10" xr3:uid="{7326184D-7915-4886-A988-35EE0EDDFB29}" name="Grand Tota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1E3C2-4241-41EA-B490-1AB4BD99F8D2}">
  <dimension ref="D4:G45"/>
  <sheetViews>
    <sheetView showGridLines="0" showRowColHeaders="0" tabSelected="1" zoomScale="55" zoomScaleNormal="55" workbookViewId="0">
      <selection activeCell="AA41" sqref="AA41"/>
    </sheetView>
  </sheetViews>
  <sheetFormatPr defaultRowHeight="14.25"/>
  <sheetData>
    <row r="4" spans="7:7" ht="15" customHeight="1"/>
    <row r="14" spans="7:7">
      <c r="G14" s="9"/>
    </row>
    <row r="45" spans="4:4" ht="15.75">
      <c r="D45" s="11" t="s">
        <v>48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CB3DF-9E1D-4E87-B39C-21F41FB7A8AD}">
  <dimension ref="A1:J53"/>
  <sheetViews>
    <sheetView workbookViewId="0">
      <selection activeCell="J9" sqref="J9"/>
    </sheetView>
  </sheetViews>
  <sheetFormatPr defaultRowHeight="14.25"/>
  <cols>
    <col min="1" max="1" width="12.875" customWidth="1"/>
    <col min="2" max="2" width="14.5" customWidth="1"/>
    <col min="3" max="3" width="9.125" customWidth="1"/>
    <col min="4" max="4" width="15.625" customWidth="1"/>
    <col min="5" max="5" width="11.875" customWidth="1"/>
    <col min="6" max="6" width="11.5" customWidth="1"/>
    <col min="7" max="7" width="15.5" customWidth="1"/>
    <col min="8" max="9" width="13.5" customWidth="1"/>
    <col min="10" max="10" width="14.875" bestFit="1" customWidth="1"/>
    <col min="11" max="11" width="14.25" customWidth="1"/>
  </cols>
  <sheetData>
    <row r="1" spans="1:10" ht="20.100000000000001" customHeight="1" thickBot="1">
      <c r="A1" s="1" t="s">
        <v>0</v>
      </c>
      <c r="B1" s="1" t="s">
        <v>1</v>
      </c>
      <c r="C1" s="1" t="s">
        <v>2</v>
      </c>
      <c r="D1" s="1" t="s">
        <v>3</v>
      </c>
      <c r="E1" s="1" t="s">
        <v>4</v>
      </c>
      <c r="F1" s="1" t="s">
        <v>5</v>
      </c>
      <c r="G1" s="1" t="s">
        <v>6</v>
      </c>
      <c r="H1" s="1" t="s">
        <v>7</v>
      </c>
      <c r="I1" s="5" t="s">
        <v>33</v>
      </c>
      <c r="J1" s="5" t="s">
        <v>29</v>
      </c>
    </row>
    <row r="2" spans="1:10" ht="15" thickTop="1">
      <c r="A2" s="2">
        <v>44246</v>
      </c>
      <c r="B2" t="s">
        <v>8</v>
      </c>
      <c r="C2" t="s">
        <v>9</v>
      </c>
      <c r="D2" t="s">
        <v>10</v>
      </c>
      <c r="E2" s="3">
        <v>84</v>
      </c>
      <c r="F2" s="4">
        <f>IF(D2="Tent",6000,IF(D2="Blender",3500,IF(D2="Action Figure",1200,IF(D2="Novel",1000,IF(D2="Sneakers",4000,IF(D2="Smartphone",10000,IF(D2="moisturizer",600,"No Product Found")))))))</f>
        <v>6000</v>
      </c>
      <c r="G2" s="4">
        <f>IF(D2="Tent",4000,IF(D2="Blender",2500,IF(D2="Action Figure",800,IF(D2="Novel",700,IF(D2="Sneakers",3000,IF(D2="Smartphone",7000,IF(D2="moisturizer",400,"No Product Found")))))))</f>
        <v>4000</v>
      </c>
      <c r="H2" s="4">
        <f>F2*E2</f>
        <v>504000</v>
      </c>
      <c r="I2" s="6">
        <f>H2-(G2*E2)</f>
        <v>168000</v>
      </c>
      <c r="J2" s="6">
        <f>SUM(H2:H51)</f>
        <v>12944500</v>
      </c>
    </row>
    <row r="3" spans="1:10">
      <c r="A3" s="2">
        <v>44446</v>
      </c>
      <c r="B3" t="s">
        <v>11</v>
      </c>
      <c r="C3" t="s">
        <v>12</v>
      </c>
      <c r="D3" t="s">
        <v>13</v>
      </c>
      <c r="E3" s="3">
        <v>128</v>
      </c>
      <c r="F3" s="4">
        <f t="shared" ref="F3:F51" si="0">IF(D3="Tent",6000,IF(D3="Blender",3500,IF(D3="Action Figure",1200,IF(D3="Novel",1000,IF(D3="Sneakers",4000,IF(D3="Smartphone",10000,IF(D3="moisturizer",600,"No Product Found")))))))</f>
        <v>3500</v>
      </c>
      <c r="G3" s="4">
        <f t="shared" ref="G3:G51" si="1">IF(D3="Tent",4000,IF(D3="Blender",2500,IF(D3="Action Figure",800,IF(D3="Novel",700,IF(D3="Sneakers",3000,IF(D3="Smartphone",7000,IF(D3="moisturizer",400,"No Product Found")))))))</f>
        <v>2500</v>
      </c>
      <c r="H3" s="4">
        <f t="shared" ref="H3:H51" si="2">F3*E3</f>
        <v>448000</v>
      </c>
      <c r="I3" s="6">
        <f>H3-(G3*E3)</f>
        <v>128000</v>
      </c>
      <c r="J3" t="s">
        <v>30</v>
      </c>
    </row>
    <row r="4" spans="1:10">
      <c r="A4" s="2">
        <v>44230</v>
      </c>
      <c r="B4" t="s">
        <v>14</v>
      </c>
      <c r="C4" t="s">
        <v>15</v>
      </c>
      <c r="D4" t="s">
        <v>16</v>
      </c>
      <c r="E4" s="3">
        <v>136</v>
      </c>
      <c r="F4" s="4">
        <f t="shared" si="0"/>
        <v>1200</v>
      </c>
      <c r="G4" s="4">
        <f t="shared" si="1"/>
        <v>800</v>
      </c>
      <c r="H4" s="4">
        <f t="shared" si="2"/>
        <v>163200</v>
      </c>
      <c r="I4" s="6">
        <f t="shared" ref="I4:I51" si="3">H4-(G4*E4)</f>
        <v>54400</v>
      </c>
      <c r="J4">
        <f>SUM(E2:E51)</f>
        <v>4705</v>
      </c>
    </row>
    <row r="5" spans="1:10">
      <c r="A5" s="2">
        <v>44085</v>
      </c>
      <c r="B5" t="s">
        <v>17</v>
      </c>
      <c r="C5" t="s">
        <v>18</v>
      </c>
      <c r="D5" t="s">
        <v>19</v>
      </c>
      <c r="E5" s="3">
        <v>91</v>
      </c>
      <c r="F5" s="4">
        <f t="shared" si="0"/>
        <v>1000</v>
      </c>
      <c r="G5" s="4">
        <f t="shared" si="1"/>
        <v>700</v>
      </c>
      <c r="H5" s="4">
        <f t="shared" si="2"/>
        <v>91000</v>
      </c>
      <c r="I5" s="6">
        <f t="shared" si="3"/>
        <v>27300</v>
      </c>
      <c r="J5" t="s">
        <v>31</v>
      </c>
    </row>
    <row r="6" spans="1:10">
      <c r="A6" s="2">
        <v>44462</v>
      </c>
      <c r="B6" t="s">
        <v>20</v>
      </c>
      <c r="C6" t="s">
        <v>9</v>
      </c>
      <c r="D6" t="s">
        <v>21</v>
      </c>
      <c r="E6" s="3">
        <v>110</v>
      </c>
      <c r="F6" s="4">
        <f t="shared" si="0"/>
        <v>4000</v>
      </c>
      <c r="G6" s="4">
        <f t="shared" si="1"/>
        <v>3000</v>
      </c>
      <c r="H6" s="4">
        <f t="shared" si="2"/>
        <v>440000</v>
      </c>
      <c r="I6" s="6">
        <f t="shared" si="3"/>
        <v>110000</v>
      </c>
      <c r="J6" s="6">
        <f>SUM(I2:I51)</f>
        <v>3834400</v>
      </c>
    </row>
    <row r="7" spans="1:10">
      <c r="A7" s="2">
        <v>44105</v>
      </c>
      <c r="B7" t="s">
        <v>22</v>
      </c>
      <c r="C7" t="s">
        <v>12</v>
      </c>
      <c r="D7" t="s">
        <v>16</v>
      </c>
      <c r="E7" s="3">
        <v>51</v>
      </c>
      <c r="F7" s="4">
        <f t="shared" si="0"/>
        <v>1200</v>
      </c>
      <c r="G7" s="4">
        <f t="shared" si="1"/>
        <v>800</v>
      </c>
      <c r="H7" s="4">
        <f t="shared" si="2"/>
        <v>61200</v>
      </c>
      <c r="I7" s="6">
        <f t="shared" si="3"/>
        <v>20400</v>
      </c>
      <c r="J7" t="s">
        <v>32</v>
      </c>
    </row>
    <row r="8" spans="1:10">
      <c r="A8" s="2">
        <v>44413</v>
      </c>
      <c r="B8" t="s">
        <v>23</v>
      </c>
      <c r="C8" t="s">
        <v>18</v>
      </c>
      <c r="D8" t="s">
        <v>19</v>
      </c>
      <c r="E8" s="3">
        <v>78</v>
      </c>
      <c r="F8" s="4">
        <f t="shared" si="0"/>
        <v>1000</v>
      </c>
      <c r="G8" s="4">
        <f t="shared" si="1"/>
        <v>700</v>
      </c>
      <c r="H8" s="4">
        <f t="shared" si="2"/>
        <v>78000</v>
      </c>
      <c r="I8" s="6">
        <f t="shared" si="3"/>
        <v>23400</v>
      </c>
      <c r="J8" s="6">
        <f>AVERAGE(H2:H51)</f>
        <v>258890</v>
      </c>
    </row>
    <row r="9" spans="1:10">
      <c r="A9" s="2">
        <v>44141</v>
      </c>
      <c r="B9" t="s">
        <v>24</v>
      </c>
      <c r="C9" t="s">
        <v>15</v>
      </c>
      <c r="D9" t="s">
        <v>10</v>
      </c>
      <c r="E9" s="3">
        <v>146</v>
      </c>
      <c r="F9" s="4">
        <f t="shared" si="0"/>
        <v>6000</v>
      </c>
      <c r="G9" s="4">
        <f t="shared" si="1"/>
        <v>4000</v>
      </c>
      <c r="H9" s="4">
        <f t="shared" si="2"/>
        <v>876000</v>
      </c>
      <c r="I9" s="6">
        <f t="shared" si="3"/>
        <v>292000</v>
      </c>
    </row>
    <row r="10" spans="1:10">
      <c r="A10" s="2">
        <v>44223</v>
      </c>
      <c r="B10" t="s">
        <v>25</v>
      </c>
      <c r="C10" t="s">
        <v>9</v>
      </c>
      <c r="D10" t="s">
        <v>26</v>
      </c>
      <c r="E10" s="3">
        <v>101</v>
      </c>
      <c r="F10" s="4">
        <f t="shared" si="0"/>
        <v>600</v>
      </c>
      <c r="G10" s="4">
        <f t="shared" si="1"/>
        <v>400</v>
      </c>
      <c r="H10" s="4">
        <f t="shared" si="2"/>
        <v>60600</v>
      </c>
      <c r="I10" s="6">
        <f t="shared" si="3"/>
        <v>20200</v>
      </c>
    </row>
    <row r="11" spans="1:10">
      <c r="A11" s="2">
        <v>44442</v>
      </c>
      <c r="B11" t="s">
        <v>27</v>
      </c>
      <c r="C11" t="s">
        <v>15</v>
      </c>
      <c r="D11" t="s">
        <v>10</v>
      </c>
      <c r="E11" s="3">
        <v>52</v>
      </c>
      <c r="F11" s="4">
        <f t="shared" si="0"/>
        <v>6000</v>
      </c>
      <c r="G11" s="4">
        <f t="shared" si="1"/>
        <v>4000</v>
      </c>
      <c r="H11" s="4">
        <f t="shared" si="2"/>
        <v>312000</v>
      </c>
      <c r="I11" s="6">
        <f t="shared" si="3"/>
        <v>104000</v>
      </c>
    </row>
    <row r="12" spans="1:10">
      <c r="A12" s="2">
        <v>44469</v>
      </c>
      <c r="B12" t="s">
        <v>27</v>
      </c>
      <c r="C12" t="s">
        <v>12</v>
      </c>
      <c r="D12" t="s">
        <v>16</v>
      </c>
      <c r="E12" s="3">
        <v>55</v>
      </c>
      <c r="F12" s="4">
        <f t="shared" si="0"/>
        <v>1200</v>
      </c>
      <c r="G12" s="4">
        <f t="shared" si="1"/>
        <v>800</v>
      </c>
      <c r="H12" s="4">
        <f t="shared" si="2"/>
        <v>66000</v>
      </c>
      <c r="I12" s="6">
        <f t="shared" si="3"/>
        <v>22000</v>
      </c>
    </row>
    <row r="13" spans="1:10">
      <c r="A13" s="2">
        <v>44084</v>
      </c>
      <c r="B13" t="s">
        <v>27</v>
      </c>
      <c r="C13" t="s">
        <v>15</v>
      </c>
      <c r="D13" t="s">
        <v>19</v>
      </c>
      <c r="E13" s="3">
        <v>137</v>
      </c>
      <c r="F13" s="4">
        <f t="shared" si="0"/>
        <v>1000</v>
      </c>
      <c r="G13" s="4">
        <f t="shared" si="1"/>
        <v>700</v>
      </c>
      <c r="H13" s="4">
        <f t="shared" si="2"/>
        <v>137000</v>
      </c>
      <c r="I13" s="6">
        <f t="shared" si="3"/>
        <v>41100</v>
      </c>
    </row>
    <row r="14" spans="1:10">
      <c r="A14" s="2">
        <v>44404</v>
      </c>
      <c r="B14" t="s">
        <v>24</v>
      </c>
      <c r="C14" t="s">
        <v>15</v>
      </c>
      <c r="D14" t="s">
        <v>13</v>
      </c>
      <c r="E14" s="3">
        <v>96</v>
      </c>
      <c r="F14" s="4">
        <f t="shared" si="0"/>
        <v>3500</v>
      </c>
      <c r="G14" s="4">
        <f t="shared" si="1"/>
        <v>2500</v>
      </c>
      <c r="H14" s="4">
        <f t="shared" si="2"/>
        <v>336000</v>
      </c>
      <c r="I14" s="6">
        <f t="shared" si="3"/>
        <v>96000</v>
      </c>
    </row>
    <row r="15" spans="1:10">
      <c r="A15" s="2">
        <v>44113</v>
      </c>
      <c r="B15" t="s">
        <v>25</v>
      </c>
      <c r="C15" t="s">
        <v>12</v>
      </c>
      <c r="D15" t="s">
        <v>21</v>
      </c>
      <c r="E15" s="3">
        <v>52</v>
      </c>
      <c r="F15" s="4">
        <f t="shared" si="0"/>
        <v>4000</v>
      </c>
      <c r="G15" s="4">
        <f t="shared" si="1"/>
        <v>3000</v>
      </c>
      <c r="H15" s="4">
        <f t="shared" si="2"/>
        <v>208000</v>
      </c>
      <c r="I15" s="6">
        <f t="shared" si="3"/>
        <v>52000</v>
      </c>
    </row>
    <row r="16" spans="1:10">
      <c r="A16" s="2">
        <v>44292</v>
      </c>
      <c r="B16" t="s">
        <v>17</v>
      </c>
      <c r="C16" t="s">
        <v>9</v>
      </c>
      <c r="D16" t="s">
        <v>13</v>
      </c>
      <c r="E16" s="3">
        <v>76</v>
      </c>
      <c r="F16" s="4">
        <f t="shared" si="0"/>
        <v>3500</v>
      </c>
      <c r="G16" s="4">
        <f t="shared" si="1"/>
        <v>2500</v>
      </c>
      <c r="H16" s="4">
        <f t="shared" si="2"/>
        <v>266000</v>
      </c>
      <c r="I16" s="6">
        <f t="shared" si="3"/>
        <v>76000</v>
      </c>
    </row>
    <row r="17" spans="1:9">
      <c r="A17" s="2">
        <v>44362</v>
      </c>
      <c r="B17" t="s">
        <v>11</v>
      </c>
      <c r="C17" t="s">
        <v>18</v>
      </c>
      <c r="D17" t="s">
        <v>21</v>
      </c>
      <c r="E17" s="3">
        <v>145</v>
      </c>
      <c r="F17" s="4">
        <f t="shared" si="0"/>
        <v>4000</v>
      </c>
      <c r="G17" s="4">
        <f t="shared" si="1"/>
        <v>3000</v>
      </c>
      <c r="H17" s="4">
        <f t="shared" si="2"/>
        <v>580000</v>
      </c>
      <c r="I17" s="6">
        <f t="shared" si="3"/>
        <v>145000</v>
      </c>
    </row>
    <row r="18" spans="1:9">
      <c r="A18" s="2">
        <v>44083</v>
      </c>
      <c r="B18" t="s">
        <v>8</v>
      </c>
      <c r="C18" t="s">
        <v>15</v>
      </c>
      <c r="D18" t="s">
        <v>26</v>
      </c>
      <c r="E18" s="3">
        <v>83</v>
      </c>
      <c r="F18" s="4">
        <f t="shared" si="0"/>
        <v>600</v>
      </c>
      <c r="G18" s="4">
        <f t="shared" si="1"/>
        <v>400</v>
      </c>
      <c r="H18" s="4">
        <f t="shared" si="2"/>
        <v>49800</v>
      </c>
      <c r="I18" s="6">
        <f t="shared" si="3"/>
        <v>16600</v>
      </c>
    </row>
    <row r="19" spans="1:9">
      <c r="A19" s="2">
        <v>44421</v>
      </c>
      <c r="B19" t="s">
        <v>20</v>
      </c>
      <c r="C19" t="s">
        <v>15</v>
      </c>
      <c r="D19" t="s">
        <v>19</v>
      </c>
      <c r="E19" s="3">
        <v>91</v>
      </c>
      <c r="F19" s="4">
        <f t="shared" si="0"/>
        <v>1000</v>
      </c>
      <c r="G19" s="4">
        <f t="shared" si="1"/>
        <v>700</v>
      </c>
      <c r="H19" s="4">
        <f t="shared" si="2"/>
        <v>91000</v>
      </c>
      <c r="I19" s="6">
        <f t="shared" si="3"/>
        <v>27300</v>
      </c>
    </row>
    <row r="20" spans="1:9">
      <c r="A20" s="2">
        <v>44070</v>
      </c>
      <c r="B20" t="s">
        <v>22</v>
      </c>
      <c r="C20" t="s">
        <v>9</v>
      </c>
      <c r="D20" t="s">
        <v>28</v>
      </c>
      <c r="E20" s="3">
        <v>108</v>
      </c>
      <c r="F20" s="4">
        <f t="shared" si="0"/>
        <v>10000</v>
      </c>
      <c r="G20" s="4">
        <f t="shared" si="1"/>
        <v>7000</v>
      </c>
      <c r="H20" s="4">
        <f t="shared" si="2"/>
        <v>1080000</v>
      </c>
      <c r="I20" s="6">
        <f t="shared" si="3"/>
        <v>324000</v>
      </c>
    </row>
    <row r="21" spans="1:9">
      <c r="A21" s="2">
        <v>44293</v>
      </c>
      <c r="B21" t="s">
        <v>14</v>
      </c>
      <c r="C21" t="s">
        <v>18</v>
      </c>
      <c r="D21" t="s">
        <v>21</v>
      </c>
      <c r="E21" s="3">
        <v>144</v>
      </c>
      <c r="F21" s="4">
        <f t="shared" si="0"/>
        <v>4000</v>
      </c>
      <c r="G21" s="4">
        <f t="shared" si="1"/>
        <v>3000</v>
      </c>
      <c r="H21" s="4">
        <f t="shared" si="2"/>
        <v>576000</v>
      </c>
      <c r="I21" s="6">
        <f t="shared" si="3"/>
        <v>144000</v>
      </c>
    </row>
    <row r="22" spans="1:9">
      <c r="A22" s="2">
        <v>43990</v>
      </c>
      <c r="B22" t="s">
        <v>20</v>
      </c>
      <c r="C22" t="s">
        <v>15</v>
      </c>
      <c r="D22" t="s">
        <v>26</v>
      </c>
      <c r="E22" s="3">
        <v>92</v>
      </c>
      <c r="F22" s="4">
        <f t="shared" si="0"/>
        <v>600</v>
      </c>
      <c r="G22" s="4">
        <f t="shared" si="1"/>
        <v>400</v>
      </c>
      <c r="H22" s="4">
        <f t="shared" si="2"/>
        <v>55200</v>
      </c>
      <c r="I22" s="6">
        <f t="shared" si="3"/>
        <v>18400</v>
      </c>
    </row>
    <row r="23" spans="1:9">
      <c r="A23" s="2">
        <v>44551</v>
      </c>
      <c r="B23" t="s">
        <v>24</v>
      </c>
      <c r="C23" t="s">
        <v>9</v>
      </c>
      <c r="D23" t="s">
        <v>10</v>
      </c>
      <c r="E23" s="3">
        <v>71</v>
      </c>
      <c r="F23" s="4">
        <f t="shared" si="0"/>
        <v>6000</v>
      </c>
      <c r="G23" s="4">
        <f t="shared" si="1"/>
        <v>4000</v>
      </c>
      <c r="H23" s="4">
        <f t="shared" si="2"/>
        <v>426000</v>
      </c>
      <c r="I23" s="6">
        <f t="shared" si="3"/>
        <v>142000</v>
      </c>
    </row>
    <row r="24" spans="1:9">
      <c r="A24" s="2">
        <v>44418</v>
      </c>
      <c r="B24" t="s">
        <v>8</v>
      </c>
      <c r="C24" t="s">
        <v>12</v>
      </c>
      <c r="D24" t="s">
        <v>26</v>
      </c>
      <c r="E24" s="3">
        <v>103</v>
      </c>
      <c r="F24" s="4">
        <f t="shared" si="0"/>
        <v>600</v>
      </c>
      <c r="G24" s="4">
        <f t="shared" si="1"/>
        <v>400</v>
      </c>
      <c r="H24" s="4">
        <f t="shared" si="2"/>
        <v>61800</v>
      </c>
      <c r="I24" s="6">
        <f t="shared" si="3"/>
        <v>20600</v>
      </c>
    </row>
    <row r="25" spans="1:9">
      <c r="A25" s="2">
        <v>44532</v>
      </c>
      <c r="B25" t="s">
        <v>27</v>
      </c>
      <c r="C25" t="s">
        <v>18</v>
      </c>
      <c r="D25" t="s">
        <v>19</v>
      </c>
      <c r="E25" s="3">
        <v>55</v>
      </c>
      <c r="F25" s="4">
        <f t="shared" si="0"/>
        <v>1000</v>
      </c>
      <c r="G25" s="4">
        <f t="shared" si="1"/>
        <v>700</v>
      </c>
      <c r="H25" s="4">
        <f t="shared" si="2"/>
        <v>55000</v>
      </c>
      <c r="I25" s="6">
        <f t="shared" si="3"/>
        <v>16500</v>
      </c>
    </row>
    <row r="26" spans="1:9">
      <c r="A26" s="2">
        <v>44438</v>
      </c>
      <c r="B26" t="s">
        <v>22</v>
      </c>
      <c r="C26" t="s">
        <v>12</v>
      </c>
      <c r="D26" t="s">
        <v>21</v>
      </c>
      <c r="E26" s="3">
        <v>93</v>
      </c>
      <c r="F26" s="4">
        <f t="shared" si="0"/>
        <v>4000</v>
      </c>
      <c r="G26" s="4">
        <f t="shared" si="1"/>
        <v>3000</v>
      </c>
      <c r="H26" s="4">
        <f t="shared" si="2"/>
        <v>372000</v>
      </c>
      <c r="I26" s="6">
        <f t="shared" si="3"/>
        <v>93000</v>
      </c>
    </row>
    <row r="27" spans="1:9">
      <c r="A27" s="2">
        <v>43971</v>
      </c>
      <c r="B27" t="s">
        <v>14</v>
      </c>
      <c r="C27" t="s">
        <v>15</v>
      </c>
      <c r="D27" t="s">
        <v>26</v>
      </c>
      <c r="E27" s="3">
        <v>143</v>
      </c>
      <c r="F27" s="4">
        <f t="shared" si="0"/>
        <v>600</v>
      </c>
      <c r="G27" s="4">
        <f t="shared" si="1"/>
        <v>400</v>
      </c>
      <c r="H27" s="4">
        <f t="shared" si="2"/>
        <v>85800</v>
      </c>
      <c r="I27" s="6">
        <f t="shared" si="3"/>
        <v>28600</v>
      </c>
    </row>
    <row r="28" spans="1:9">
      <c r="A28" s="2">
        <v>44452</v>
      </c>
      <c r="B28" t="s">
        <v>23</v>
      </c>
      <c r="C28" t="s">
        <v>9</v>
      </c>
      <c r="D28" t="s">
        <v>13</v>
      </c>
      <c r="E28" s="3">
        <v>143</v>
      </c>
      <c r="F28" s="4">
        <f t="shared" si="0"/>
        <v>3500</v>
      </c>
      <c r="G28" s="4">
        <f t="shared" si="1"/>
        <v>2500</v>
      </c>
      <c r="H28" s="4">
        <f t="shared" si="2"/>
        <v>500500</v>
      </c>
      <c r="I28" s="6">
        <f t="shared" si="3"/>
        <v>143000</v>
      </c>
    </row>
    <row r="29" spans="1:9">
      <c r="A29" s="2">
        <v>44496</v>
      </c>
      <c r="B29" t="s">
        <v>25</v>
      </c>
      <c r="C29" t="s">
        <v>18</v>
      </c>
      <c r="D29" t="s">
        <v>26</v>
      </c>
      <c r="E29" s="3">
        <v>99</v>
      </c>
      <c r="F29" s="4">
        <f t="shared" si="0"/>
        <v>600</v>
      </c>
      <c r="G29" s="4">
        <f t="shared" si="1"/>
        <v>400</v>
      </c>
      <c r="H29" s="4">
        <f t="shared" si="2"/>
        <v>59400</v>
      </c>
      <c r="I29" s="6">
        <f t="shared" si="3"/>
        <v>19800</v>
      </c>
    </row>
    <row r="30" spans="1:9">
      <c r="A30" s="2">
        <v>44187</v>
      </c>
      <c r="B30" t="s">
        <v>17</v>
      </c>
      <c r="C30" t="s">
        <v>9</v>
      </c>
      <c r="D30" t="s">
        <v>19</v>
      </c>
      <c r="E30" s="3">
        <v>120</v>
      </c>
      <c r="F30" s="4">
        <f t="shared" si="0"/>
        <v>1000</v>
      </c>
      <c r="G30" s="4">
        <f t="shared" si="1"/>
        <v>700</v>
      </c>
      <c r="H30" s="4">
        <f t="shared" si="2"/>
        <v>120000</v>
      </c>
      <c r="I30" s="6">
        <f t="shared" si="3"/>
        <v>36000</v>
      </c>
    </row>
    <row r="31" spans="1:9">
      <c r="A31" s="2">
        <v>44405</v>
      </c>
      <c r="B31" t="s">
        <v>11</v>
      </c>
      <c r="C31" t="s">
        <v>15</v>
      </c>
      <c r="D31" t="s">
        <v>13</v>
      </c>
      <c r="E31" s="3">
        <v>66</v>
      </c>
      <c r="F31" s="4">
        <f t="shared" si="0"/>
        <v>3500</v>
      </c>
      <c r="G31" s="4">
        <f t="shared" si="1"/>
        <v>2500</v>
      </c>
      <c r="H31" s="4">
        <f t="shared" si="2"/>
        <v>231000</v>
      </c>
      <c r="I31" s="6">
        <f t="shared" si="3"/>
        <v>66000</v>
      </c>
    </row>
    <row r="32" spans="1:9">
      <c r="A32" s="2">
        <v>44103</v>
      </c>
      <c r="B32" t="s">
        <v>25</v>
      </c>
      <c r="C32" t="s">
        <v>18</v>
      </c>
      <c r="D32" t="s">
        <v>16</v>
      </c>
      <c r="E32" s="3">
        <v>88</v>
      </c>
      <c r="F32" s="4">
        <f t="shared" si="0"/>
        <v>1200</v>
      </c>
      <c r="G32" s="4">
        <f t="shared" si="1"/>
        <v>800</v>
      </c>
      <c r="H32" s="4">
        <f t="shared" si="2"/>
        <v>105600</v>
      </c>
      <c r="I32" s="6">
        <f t="shared" si="3"/>
        <v>35200</v>
      </c>
    </row>
    <row r="33" spans="1:9">
      <c r="A33" s="2">
        <v>44126</v>
      </c>
      <c r="B33" t="s">
        <v>17</v>
      </c>
      <c r="C33" t="s">
        <v>12</v>
      </c>
      <c r="D33" t="s">
        <v>28</v>
      </c>
      <c r="E33" s="3">
        <v>127</v>
      </c>
      <c r="F33" s="4">
        <f t="shared" si="0"/>
        <v>10000</v>
      </c>
      <c r="G33" s="4">
        <f t="shared" si="1"/>
        <v>7000</v>
      </c>
      <c r="H33" s="4">
        <f t="shared" si="2"/>
        <v>1270000</v>
      </c>
      <c r="I33" s="6">
        <f t="shared" si="3"/>
        <v>381000</v>
      </c>
    </row>
    <row r="34" spans="1:9">
      <c r="A34" s="2">
        <v>43970</v>
      </c>
      <c r="B34" t="s">
        <v>20</v>
      </c>
      <c r="C34" t="s">
        <v>9</v>
      </c>
      <c r="D34" t="s">
        <v>21</v>
      </c>
      <c r="E34" s="3">
        <v>67</v>
      </c>
      <c r="F34" s="4">
        <f t="shared" si="0"/>
        <v>4000</v>
      </c>
      <c r="G34" s="4">
        <f t="shared" si="1"/>
        <v>3000</v>
      </c>
      <c r="H34" s="4">
        <f t="shared" si="2"/>
        <v>268000</v>
      </c>
      <c r="I34" s="6">
        <f t="shared" si="3"/>
        <v>67000</v>
      </c>
    </row>
    <row r="35" spans="1:9">
      <c r="A35" s="2">
        <v>44536</v>
      </c>
      <c r="B35" t="s">
        <v>11</v>
      </c>
      <c r="C35" t="s">
        <v>12</v>
      </c>
      <c r="D35" t="s">
        <v>16</v>
      </c>
      <c r="E35" s="3">
        <v>67</v>
      </c>
      <c r="F35" s="4">
        <f t="shared" si="0"/>
        <v>1200</v>
      </c>
      <c r="G35" s="4">
        <f t="shared" si="1"/>
        <v>800</v>
      </c>
      <c r="H35" s="4">
        <f t="shared" si="2"/>
        <v>80400</v>
      </c>
      <c r="I35" s="6">
        <f t="shared" si="3"/>
        <v>26800</v>
      </c>
    </row>
    <row r="36" spans="1:9">
      <c r="A36" s="2">
        <v>44069</v>
      </c>
      <c r="B36" t="s">
        <v>27</v>
      </c>
      <c r="C36" t="s">
        <v>15</v>
      </c>
      <c r="D36" t="s">
        <v>19</v>
      </c>
      <c r="E36" s="3">
        <v>149</v>
      </c>
      <c r="F36" s="4">
        <f t="shared" si="0"/>
        <v>1000</v>
      </c>
      <c r="G36" s="4">
        <f t="shared" si="1"/>
        <v>700</v>
      </c>
      <c r="H36" s="4">
        <f t="shared" si="2"/>
        <v>149000</v>
      </c>
      <c r="I36" s="6">
        <f t="shared" si="3"/>
        <v>44700</v>
      </c>
    </row>
    <row r="37" spans="1:9">
      <c r="A37" s="2">
        <v>44378</v>
      </c>
      <c r="B37" t="s">
        <v>20</v>
      </c>
      <c r="C37" t="s">
        <v>18</v>
      </c>
      <c r="D37" t="s">
        <v>26</v>
      </c>
      <c r="E37" s="3">
        <v>104</v>
      </c>
      <c r="F37" s="4">
        <f t="shared" si="0"/>
        <v>600</v>
      </c>
      <c r="G37" s="4">
        <f t="shared" si="1"/>
        <v>400</v>
      </c>
      <c r="H37" s="4">
        <f t="shared" si="2"/>
        <v>62400</v>
      </c>
      <c r="I37" s="6">
        <f t="shared" si="3"/>
        <v>20800</v>
      </c>
    </row>
    <row r="38" spans="1:9">
      <c r="A38" s="2">
        <v>44404</v>
      </c>
      <c r="B38" t="s">
        <v>24</v>
      </c>
      <c r="C38" t="s">
        <v>9</v>
      </c>
      <c r="D38" t="s">
        <v>26</v>
      </c>
      <c r="E38" s="3">
        <v>57</v>
      </c>
      <c r="F38" s="4">
        <f t="shared" si="0"/>
        <v>600</v>
      </c>
      <c r="G38" s="4">
        <f t="shared" si="1"/>
        <v>400</v>
      </c>
      <c r="H38" s="4">
        <f t="shared" si="2"/>
        <v>34200</v>
      </c>
      <c r="I38" s="6">
        <f t="shared" si="3"/>
        <v>11400</v>
      </c>
    </row>
    <row r="39" spans="1:9">
      <c r="A39" s="2">
        <v>44109</v>
      </c>
      <c r="B39" t="s">
        <v>14</v>
      </c>
      <c r="C39" t="s">
        <v>12</v>
      </c>
      <c r="D39" t="s">
        <v>26</v>
      </c>
      <c r="E39" s="3">
        <v>90</v>
      </c>
      <c r="F39" s="4">
        <f t="shared" si="0"/>
        <v>600</v>
      </c>
      <c r="G39" s="4">
        <f t="shared" si="1"/>
        <v>400</v>
      </c>
      <c r="H39" s="4">
        <f t="shared" si="2"/>
        <v>54000</v>
      </c>
      <c r="I39" s="6">
        <f t="shared" si="3"/>
        <v>18000</v>
      </c>
    </row>
    <row r="40" spans="1:9">
      <c r="A40" s="2">
        <v>44076</v>
      </c>
      <c r="B40" t="s">
        <v>22</v>
      </c>
      <c r="C40" t="s">
        <v>15</v>
      </c>
      <c r="D40" t="s">
        <v>26</v>
      </c>
      <c r="E40" s="3">
        <v>67</v>
      </c>
      <c r="F40" s="4">
        <f t="shared" si="0"/>
        <v>600</v>
      </c>
      <c r="G40" s="4">
        <f t="shared" si="1"/>
        <v>400</v>
      </c>
      <c r="H40" s="4">
        <f t="shared" si="2"/>
        <v>40200</v>
      </c>
      <c r="I40" s="6">
        <f t="shared" si="3"/>
        <v>13400</v>
      </c>
    </row>
    <row r="41" spans="1:9">
      <c r="A41" s="2">
        <v>44441</v>
      </c>
      <c r="B41" t="s">
        <v>8</v>
      </c>
      <c r="C41" t="s">
        <v>18</v>
      </c>
      <c r="D41" t="s">
        <v>21</v>
      </c>
      <c r="E41" s="3">
        <v>127</v>
      </c>
      <c r="F41" s="4">
        <f t="shared" si="0"/>
        <v>4000</v>
      </c>
      <c r="G41" s="4">
        <f t="shared" si="1"/>
        <v>3000</v>
      </c>
      <c r="H41" s="4">
        <f t="shared" si="2"/>
        <v>508000</v>
      </c>
      <c r="I41" s="6">
        <f t="shared" si="3"/>
        <v>127000</v>
      </c>
    </row>
    <row r="42" spans="1:9">
      <c r="A42" s="2">
        <v>44299</v>
      </c>
      <c r="B42" t="s">
        <v>22</v>
      </c>
      <c r="C42" t="s">
        <v>9</v>
      </c>
      <c r="D42" t="s">
        <v>19</v>
      </c>
      <c r="E42" s="3">
        <v>108</v>
      </c>
      <c r="F42" s="4">
        <f t="shared" si="0"/>
        <v>1000</v>
      </c>
      <c r="G42" s="4">
        <f t="shared" si="1"/>
        <v>700</v>
      </c>
      <c r="H42" s="4">
        <f t="shared" si="2"/>
        <v>108000</v>
      </c>
      <c r="I42" s="6">
        <f t="shared" si="3"/>
        <v>32400</v>
      </c>
    </row>
    <row r="43" spans="1:9">
      <c r="A43" s="2">
        <v>44322</v>
      </c>
      <c r="B43" t="s">
        <v>14</v>
      </c>
      <c r="C43" t="s">
        <v>12</v>
      </c>
      <c r="D43" t="s">
        <v>13</v>
      </c>
      <c r="E43" s="3">
        <v>66</v>
      </c>
      <c r="F43" s="4">
        <f t="shared" si="0"/>
        <v>3500</v>
      </c>
      <c r="G43" s="4">
        <f t="shared" si="1"/>
        <v>2500</v>
      </c>
      <c r="H43" s="4">
        <f t="shared" si="2"/>
        <v>231000</v>
      </c>
      <c r="I43" s="6">
        <f t="shared" si="3"/>
        <v>66000</v>
      </c>
    </row>
    <row r="44" spans="1:9">
      <c r="A44" s="2">
        <v>44211</v>
      </c>
      <c r="B44" t="s">
        <v>8</v>
      </c>
      <c r="C44" t="s">
        <v>18</v>
      </c>
      <c r="D44" t="s">
        <v>10</v>
      </c>
      <c r="E44" s="3">
        <v>78</v>
      </c>
      <c r="F44" s="4">
        <f t="shared" si="0"/>
        <v>6000</v>
      </c>
      <c r="G44" s="4">
        <f t="shared" si="1"/>
        <v>4000</v>
      </c>
      <c r="H44" s="4">
        <f t="shared" si="2"/>
        <v>468000</v>
      </c>
      <c r="I44" s="6">
        <f t="shared" si="3"/>
        <v>156000</v>
      </c>
    </row>
    <row r="45" spans="1:9">
      <c r="A45" s="2">
        <v>44070</v>
      </c>
      <c r="B45" t="s">
        <v>24</v>
      </c>
      <c r="C45" t="s">
        <v>15</v>
      </c>
      <c r="D45" t="s">
        <v>19</v>
      </c>
      <c r="E45" s="3">
        <v>69</v>
      </c>
      <c r="F45" s="4">
        <f t="shared" si="0"/>
        <v>1000</v>
      </c>
      <c r="G45" s="4">
        <f t="shared" si="1"/>
        <v>700</v>
      </c>
      <c r="H45" s="4">
        <f t="shared" si="2"/>
        <v>69000</v>
      </c>
      <c r="I45" s="6">
        <f t="shared" si="3"/>
        <v>20700</v>
      </c>
    </row>
    <row r="46" spans="1:9">
      <c r="A46" s="2">
        <v>44232</v>
      </c>
      <c r="B46" t="s">
        <v>20</v>
      </c>
      <c r="C46" t="s">
        <v>9</v>
      </c>
      <c r="D46" t="s">
        <v>16</v>
      </c>
      <c r="E46" s="3">
        <v>59</v>
      </c>
      <c r="F46" s="4">
        <f t="shared" si="0"/>
        <v>1200</v>
      </c>
      <c r="G46" s="4">
        <f t="shared" si="1"/>
        <v>800</v>
      </c>
      <c r="H46" s="4">
        <f t="shared" si="2"/>
        <v>70800</v>
      </c>
      <c r="I46" s="6">
        <f t="shared" si="3"/>
        <v>23600</v>
      </c>
    </row>
    <row r="47" spans="1:9">
      <c r="A47" s="2">
        <v>44517</v>
      </c>
      <c r="B47" t="s">
        <v>27</v>
      </c>
      <c r="C47" t="s">
        <v>15</v>
      </c>
      <c r="D47" t="s">
        <v>26</v>
      </c>
      <c r="E47" s="3">
        <v>109</v>
      </c>
      <c r="F47" s="4">
        <f t="shared" si="0"/>
        <v>600</v>
      </c>
      <c r="G47" s="4">
        <f t="shared" si="1"/>
        <v>400</v>
      </c>
      <c r="H47" s="4">
        <f t="shared" si="2"/>
        <v>65400</v>
      </c>
      <c r="I47" s="6">
        <f t="shared" si="3"/>
        <v>21800</v>
      </c>
    </row>
    <row r="48" spans="1:9">
      <c r="A48" s="2">
        <v>44193</v>
      </c>
      <c r="B48" t="s">
        <v>25</v>
      </c>
      <c r="C48" t="s">
        <v>12</v>
      </c>
      <c r="D48" t="s">
        <v>21</v>
      </c>
      <c r="E48" s="3">
        <v>61</v>
      </c>
      <c r="F48" s="4">
        <f t="shared" si="0"/>
        <v>4000</v>
      </c>
      <c r="G48" s="4">
        <f t="shared" si="1"/>
        <v>3000</v>
      </c>
      <c r="H48" s="4">
        <f t="shared" si="2"/>
        <v>244000</v>
      </c>
      <c r="I48" s="6">
        <f t="shared" si="3"/>
        <v>61000</v>
      </c>
    </row>
    <row r="49" spans="1:9">
      <c r="A49" s="2">
        <v>44496</v>
      </c>
      <c r="B49" t="s">
        <v>20</v>
      </c>
      <c r="C49" t="s">
        <v>18</v>
      </c>
      <c r="D49" t="s">
        <v>26</v>
      </c>
      <c r="E49" s="3">
        <v>130</v>
      </c>
      <c r="F49" s="4">
        <f t="shared" si="0"/>
        <v>600</v>
      </c>
      <c r="G49" s="4">
        <f t="shared" si="1"/>
        <v>400</v>
      </c>
      <c r="H49" s="4">
        <f t="shared" si="2"/>
        <v>78000</v>
      </c>
      <c r="I49" s="6">
        <f t="shared" si="3"/>
        <v>26000</v>
      </c>
    </row>
    <row r="50" spans="1:9">
      <c r="A50" s="2">
        <v>44502</v>
      </c>
      <c r="B50" t="s">
        <v>17</v>
      </c>
      <c r="C50" t="s">
        <v>15</v>
      </c>
      <c r="D50" t="s">
        <v>13</v>
      </c>
      <c r="E50" s="3">
        <v>60</v>
      </c>
      <c r="F50" s="4">
        <f t="shared" si="0"/>
        <v>3500</v>
      </c>
      <c r="G50" s="4">
        <f t="shared" si="1"/>
        <v>2500</v>
      </c>
      <c r="H50" s="4">
        <f t="shared" si="2"/>
        <v>210000</v>
      </c>
      <c r="I50" s="6">
        <f t="shared" si="3"/>
        <v>60000</v>
      </c>
    </row>
    <row r="51" spans="1:9">
      <c r="A51" s="2">
        <v>43958</v>
      </c>
      <c r="B51" t="s">
        <v>11</v>
      </c>
      <c r="C51" t="s">
        <v>12</v>
      </c>
      <c r="D51" t="s">
        <v>10</v>
      </c>
      <c r="E51" s="3">
        <v>73</v>
      </c>
      <c r="F51" s="4">
        <f t="shared" si="0"/>
        <v>6000</v>
      </c>
      <c r="G51" s="4">
        <f t="shared" si="1"/>
        <v>4000</v>
      </c>
      <c r="H51" s="4">
        <f t="shared" si="2"/>
        <v>438000</v>
      </c>
      <c r="I51" s="6">
        <f t="shared" si="3"/>
        <v>146000</v>
      </c>
    </row>
    <row r="52" spans="1:9">
      <c r="I52" s="6"/>
    </row>
    <row r="53" spans="1:9">
      <c r="I53" s="6"/>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A45A0-97ED-4EE0-95AF-6C3AFC11B6F7}">
  <dimension ref="A3:K23"/>
  <sheetViews>
    <sheetView topLeftCell="A10" workbookViewId="0">
      <selection activeCell="I22" sqref="I22"/>
    </sheetView>
  </sheetViews>
  <sheetFormatPr defaultRowHeight="14.25"/>
  <cols>
    <col min="1" max="1" width="13.125" bestFit="1" customWidth="1"/>
    <col min="2" max="2" width="17.625" bestFit="1" customWidth="1"/>
    <col min="4" max="4" width="13.125" bestFit="1" customWidth="1"/>
    <col min="5" max="5" width="17.625" bestFit="1" customWidth="1"/>
    <col min="7" max="7" width="13.125" bestFit="1" customWidth="1"/>
    <col min="8" max="8" width="17.625" bestFit="1" customWidth="1"/>
    <col min="10" max="10" width="13.125" bestFit="1" customWidth="1"/>
    <col min="11" max="11" width="16.75" bestFit="1" customWidth="1"/>
    <col min="12" max="12" width="20.5" bestFit="1" customWidth="1"/>
  </cols>
  <sheetData>
    <row r="3" spans="1:11">
      <c r="A3" s="7" t="s">
        <v>34</v>
      </c>
      <c r="B3" t="s">
        <v>35</v>
      </c>
      <c r="D3" s="7" t="s">
        <v>34</v>
      </c>
      <c r="E3" t="s">
        <v>35</v>
      </c>
      <c r="G3" s="7" t="s">
        <v>34</v>
      </c>
      <c r="H3" t="s">
        <v>35</v>
      </c>
      <c r="J3" s="7" t="s">
        <v>34</v>
      </c>
      <c r="K3" t="s">
        <v>36</v>
      </c>
    </row>
    <row r="4" spans="1:11">
      <c r="A4" s="3" t="s">
        <v>12</v>
      </c>
      <c r="B4" s="8">
        <v>3534400</v>
      </c>
      <c r="D4" s="3" t="s">
        <v>16</v>
      </c>
      <c r="E4" s="8">
        <v>547200</v>
      </c>
      <c r="G4" s="3" t="s">
        <v>8</v>
      </c>
      <c r="H4" s="8">
        <v>1591600</v>
      </c>
      <c r="J4" s="3" t="s">
        <v>16</v>
      </c>
      <c r="K4" s="8">
        <v>456</v>
      </c>
    </row>
    <row r="5" spans="1:11">
      <c r="A5" s="3" t="s">
        <v>18</v>
      </c>
      <c r="B5" s="8">
        <v>2661400</v>
      </c>
      <c r="D5" s="3" t="s">
        <v>13</v>
      </c>
      <c r="E5" s="8">
        <v>2222500</v>
      </c>
      <c r="G5" s="3" t="s">
        <v>25</v>
      </c>
      <c r="H5" s="8">
        <v>677600</v>
      </c>
      <c r="J5" s="3" t="s">
        <v>13</v>
      </c>
      <c r="K5" s="8">
        <v>635</v>
      </c>
    </row>
    <row r="6" spans="1:11">
      <c r="A6" s="3" t="s">
        <v>15</v>
      </c>
      <c r="B6" s="8">
        <v>2870600</v>
      </c>
      <c r="D6" s="3" t="s">
        <v>26</v>
      </c>
      <c r="E6" s="8">
        <v>706800</v>
      </c>
      <c r="G6" s="3" t="s">
        <v>17</v>
      </c>
      <c r="H6" s="8">
        <v>1957000</v>
      </c>
      <c r="J6" s="3" t="s">
        <v>26</v>
      </c>
      <c r="K6" s="8">
        <v>1178</v>
      </c>
    </row>
    <row r="7" spans="1:11">
      <c r="A7" s="3" t="s">
        <v>9</v>
      </c>
      <c r="B7" s="8">
        <v>3878100</v>
      </c>
      <c r="D7" s="3" t="s">
        <v>19</v>
      </c>
      <c r="E7" s="8">
        <v>898000</v>
      </c>
      <c r="G7" s="3" t="s">
        <v>22</v>
      </c>
      <c r="H7" s="8">
        <v>1661400</v>
      </c>
      <c r="J7" s="3" t="s">
        <v>19</v>
      </c>
      <c r="K7" s="8">
        <v>898</v>
      </c>
    </row>
    <row r="8" spans="1:11">
      <c r="A8" s="3" t="s">
        <v>29</v>
      </c>
      <c r="B8" s="8">
        <v>12944500</v>
      </c>
      <c r="D8" s="3" t="s">
        <v>28</v>
      </c>
      <c r="E8" s="8">
        <v>2350000</v>
      </c>
      <c r="G8" s="3" t="s">
        <v>24</v>
      </c>
      <c r="H8" s="8">
        <v>1741200</v>
      </c>
      <c r="J8" s="3" t="s">
        <v>28</v>
      </c>
      <c r="K8" s="8">
        <v>235</v>
      </c>
    </row>
    <row r="9" spans="1:11">
      <c r="D9" s="3" t="s">
        <v>21</v>
      </c>
      <c r="E9" s="8">
        <v>3196000</v>
      </c>
      <c r="G9" s="3" t="s">
        <v>14</v>
      </c>
      <c r="H9" s="8">
        <v>1110000</v>
      </c>
      <c r="J9" s="3" t="s">
        <v>21</v>
      </c>
      <c r="K9" s="8">
        <v>799</v>
      </c>
    </row>
    <row r="10" spans="1:11">
      <c r="D10" s="3" t="s">
        <v>10</v>
      </c>
      <c r="E10" s="8">
        <v>3024000</v>
      </c>
      <c r="G10" s="3" t="s">
        <v>11</v>
      </c>
      <c r="H10" s="8">
        <v>1777400</v>
      </c>
      <c r="J10" s="3" t="s">
        <v>10</v>
      </c>
      <c r="K10" s="8">
        <v>504</v>
      </c>
    </row>
    <row r="11" spans="1:11">
      <c r="A11" s="7" t="s">
        <v>34</v>
      </c>
      <c r="B11" t="s">
        <v>35</v>
      </c>
      <c r="C11" s="7"/>
      <c r="D11" s="3" t="s">
        <v>29</v>
      </c>
      <c r="E11" s="8">
        <v>12944500</v>
      </c>
      <c r="F11" s="7"/>
      <c r="G11" s="3" t="s">
        <v>20</v>
      </c>
      <c r="H11" s="8">
        <v>1065400</v>
      </c>
      <c r="I11" s="7"/>
      <c r="J11" s="3" t="s">
        <v>29</v>
      </c>
      <c r="K11" s="8">
        <v>4705</v>
      </c>
    </row>
    <row r="12" spans="1:11">
      <c r="A12" s="10" t="s">
        <v>44</v>
      </c>
      <c r="B12" s="8">
        <v>528600</v>
      </c>
      <c r="G12" s="3" t="s">
        <v>27</v>
      </c>
      <c r="H12" s="8">
        <v>784400</v>
      </c>
    </row>
    <row r="13" spans="1:11">
      <c r="A13" s="10" t="s">
        <v>45</v>
      </c>
      <c r="B13" s="8">
        <v>738000</v>
      </c>
      <c r="G13" s="3" t="s">
        <v>23</v>
      </c>
      <c r="H13" s="8">
        <v>578500</v>
      </c>
    </row>
    <row r="14" spans="1:11">
      <c r="A14" s="10" t="s">
        <v>46</v>
      </c>
      <c r="B14" s="8">
        <v>950000</v>
      </c>
      <c r="G14" s="3" t="s">
        <v>29</v>
      </c>
      <c r="H14" s="8">
        <v>12944500</v>
      </c>
    </row>
    <row r="15" spans="1:11">
      <c r="A15" s="10" t="s">
        <v>37</v>
      </c>
      <c r="B15" s="8">
        <v>1022800</v>
      </c>
    </row>
    <row r="16" spans="1:11">
      <c r="A16" s="10" t="s">
        <v>38</v>
      </c>
      <c r="B16" s="8">
        <v>635200</v>
      </c>
    </row>
    <row r="17" spans="1:2">
      <c r="A17" s="10" t="s">
        <v>47</v>
      </c>
      <c r="B17" s="8">
        <v>663600</v>
      </c>
    </row>
    <row r="18" spans="1:2">
      <c r="A18" s="10" t="s">
        <v>39</v>
      </c>
      <c r="B18" s="8">
        <v>1900800</v>
      </c>
    </row>
    <row r="19" spans="1:2">
      <c r="A19" s="10" t="s">
        <v>40</v>
      </c>
      <c r="B19" s="8">
        <v>2698100</v>
      </c>
    </row>
    <row r="20" spans="1:2">
      <c r="A20" s="10" t="s">
        <v>41</v>
      </c>
      <c r="B20" s="8">
        <v>1730600</v>
      </c>
    </row>
    <row r="21" spans="1:2">
      <c r="A21" s="10" t="s">
        <v>42</v>
      </c>
      <c r="B21" s="8">
        <v>1151400</v>
      </c>
    </row>
    <row r="22" spans="1:2">
      <c r="A22" s="10" t="s">
        <v>43</v>
      </c>
      <c r="B22" s="8">
        <v>925400</v>
      </c>
    </row>
    <row r="23" spans="1:2">
      <c r="A23" s="10" t="s">
        <v>29</v>
      </c>
      <c r="B23" s="8">
        <v>12944500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SalesData</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George Williams</dc:creator>
  <cp:lastModifiedBy>Admin</cp:lastModifiedBy>
  <dcterms:created xsi:type="dcterms:W3CDTF">2024-05-30T14:35:02Z</dcterms:created>
  <dcterms:modified xsi:type="dcterms:W3CDTF">2026-04-02T19:42:41Z</dcterms:modified>
</cp:coreProperties>
</file>